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cmber_2024_FR" sheetId="3" r:id="rId1"/>
  </sheets>
  <definedNames>
    <definedName name="_xlnm._FilterDatabase" localSheetId="0" hidden="1">Decmber_2024_FR!$S$1:$S$108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99" i="3" l="1"/>
  <c r="T98" i="3"/>
  <c r="T97" i="3"/>
  <c r="T96" i="3"/>
  <c r="T95" i="3"/>
  <c r="T94" i="3"/>
  <c r="T93" i="3"/>
  <c r="T92" i="3"/>
  <c r="T91" i="3"/>
  <c r="T90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5" i="3"/>
  <c r="T24" i="3"/>
  <c r="T23" i="3"/>
  <c r="T22" i="3"/>
  <c r="T21" i="3"/>
  <c r="T20" i="3"/>
  <c r="T19" i="3"/>
  <c r="T18" i="3"/>
  <c r="T16" i="3"/>
  <c r="T15" i="3"/>
  <c r="T14" i="3"/>
  <c r="T13" i="3"/>
  <c r="T12" i="3"/>
  <c r="T11" i="3"/>
  <c r="T10" i="3"/>
  <c r="T9" i="3"/>
  <c r="T8" i="3"/>
  <c r="T7" i="3"/>
  <c r="T6" i="3"/>
  <c r="T5" i="3"/>
</calcChain>
</file>

<file path=xl/sharedStrings.xml><?xml version="1.0" encoding="utf-8"?>
<sst xmlns="http://schemas.openxmlformats.org/spreadsheetml/2006/main" count="1738" uniqueCount="410">
  <si>
    <t>accession</t>
  </si>
  <si>
    <t>isolate</t>
  </si>
  <si>
    <t>collection.date.decimal</t>
  </si>
  <si>
    <t>iso.country.code</t>
  </si>
  <si>
    <t>iso.country</t>
  </si>
  <si>
    <t>iso.subdivision.code</t>
  </si>
  <si>
    <t>coordinates (latitude , longitude)</t>
  </si>
  <si>
    <t>genotype</t>
  </si>
  <si>
    <t>host.class</t>
  </si>
  <si>
    <t>host.order</t>
  </si>
  <si>
    <t>host.genus</t>
  </si>
  <si>
    <t>host.species</t>
  </si>
  <si>
    <t>isolation.source</t>
  </si>
  <si>
    <t>seq.length</t>
  </si>
  <si>
    <t>full.length</t>
  </si>
  <si>
    <t>seq.technology</t>
  </si>
  <si>
    <t>title</t>
  </si>
  <si>
    <t>pubmed.id_1</t>
  </si>
  <si>
    <t>citation_1</t>
  </si>
  <si>
    <t>NA</t>
  </si>
  <si>
    <t>FR</t>
  </si>
  <si>
    <t>France</t>
  </si>
  <si>
    <t>Oullins</t>
  </si>
  <si>
    <t>45.7153254,4.8039331</t>
  </si>
  <si>
    <t>Africa 2</t>
  </si>
  <si>
    <t>Aves</t>
  </si>
  <si>
    <t>Passeriformes</t>
  </si>
  <si>
    <t>Turdus</t>
  </si>
  <si>
    <t>merula</t>
  </si>
  <si>
    <t>organs</t>
  </si>
  <si>
    <t>partial</t>
  </si>
  <si>
    <t>Sanger dideoxy sequencing</t>
  </si>
  <si>
    <t>Unpublished</t>
  </si>
  <si>
    <t>Brunstatt</t>
  </si>
  <si>
    <t>47.7165607,7.3294114</t>
  </si>
  <si>
    <t>Europe 3</t>
  </si>
  <si>
    <t>Caluire-et-Cuire</t>
  </si>
  <si>
    <t>45.7969952,4.8423304</t>
  </si>
  <si>
    <t>Cellieu</t>
  </si>
  <si>
    <t>45.5230111,4.541702</t>
  </si>
  <si>
    <t>Africa 3</t>
  </si>
  <si>
    <t>Isle</t>
  </si>
  <si>
    <t>45.8055591,1.2238259</t>
  </si>
  <si>
    <t>Kappelen</t>
  </si>
  <si>
    <t>47.617974,7.4384263</t>
  </si>
  <si>
    <t>Brinckheim</t>
  </si>
  <si>
    <t>47.6260316,7.4598183</t>
  </si>
  <si>
    <t>*Limoges (Laboratoire Départemental d'Analyses et de Recherches 87)</t>
  </si>
  <si>
    <t>45.8354243,1.2644847</t>
  </si>
  <si>
    <t>Saint-Pierre-de-Chandieu</t>
  </si>
  <si>
    <t>45.6446435,5.0100345</t>
  </si>
  <si>
    <t xml:space="preserve">Mulhouse (Parc zoologique et botanique) </t>
  </si>
  <si>
    <t>47.7467233,7.3389937</t>
  </si>
  <si>
    <t>Strigiformes</t>
  </si>
  <si>
    <t>Strix</t>
  </si>
  <si>
    <t>nebulosa</t>
  </si>
  <si>
    <t>Saint-Aignan (ZooParc de Beauval)</t>
  </si>
  <si>
    <t>47.2689094,1.3736925</t>
  </si>
  <si>
    <t>Fréterive</t>
  </si>
  <si>
    <t>45.5839576,6.2083753</t>
  </si>
  <si>
    <t>Le Touvet</t>
  </si>
  <si>
    <t>45.3592324,5.9515976</t>
  </si>
  <si>
    <t>07</t>
  </si>
  <si>
    <t>Flaviac</t>
  </si>
  <si>
    <t>44.7454,4.67083</t>
  </si>
  <si>
    <t>philomelos</t>
  </si>
  <si>
    <t>Paris (Jardin des Plantes)</t>
  </si>
  <si>
    <t>48.8588897,2.320041</t>
  </si>
  <si>
    <t>Ion torrent</t>
  </si>
  <si>
    <t>Douadic</t>
  </si>
  <si>
    <t>46.705011,1.1116613</t>
  </si>
  <si>
    <t>Cheverny</t>
  </si>
  <si>
    <t>47.4996989,1.4611064</t>
  </si>
  <si>
    <t>Mailhac-sur-Benaize</t>
  </si>
  <si>
    <t>46.3225411,1.3296032</t>
  </si>
  <si>
    <t>Payré</t>
  </si>
  <si>
    <t>46.3504725,0.1829874</t>
  </si>
  <si>
    <t>La Meilleraye-de-Bretagne</t>
  </si>
  <si>
    <t>47.5590149,-1.4021731</t>
  </si>
  <si>
    <t>Château-Gontier-sur-Mayenne (Refuge de l'Arche)</t>
  </si>
  <si>
    <t>47.7981251,-0.7144338</t>
  </si>
  <si>
    <t>La Crèche</t>
  </si>
  <si>
    <t>46.3624398,-0.2970798</t>
  </si>
  <si>
    <t>Paris (Parc Zoologique de Paris)</t>
  </si>
  <si>
    <t>03</t>
  </si>
  <si>
    <t>*Moulins (Eurofins, Laboratoire Cœur de France)</t>
  </si>
  <si>
    <t>46.5660526,3.3331703</t>
  </si>
  <si>
    <t>Bubo</t>
  </si>
  <si>
    <t>scandiacus</t>
  </si>
  <si>
    <t>*Bourges (Fédération des chasseur du cher)</t>
  </si>
  <si>
    <t>47.0811658,2.399125</t>
  </si>
  <si>
    <t>*Verneuil-sur-Vienne (SOS Faune Sauvage)</t>
  </si>
  <si>
    <t>45.8492352,1.1273441</t>
  </si>
  <si>
    <t>Amneville (Parc Zoologique)</t>
  </si>
  <si>
    <t>49.2603613,6.1420739</t>
  </si>
  <si>
    <t>Marcilly la Campagne (Les Ailes d'Urga)</t>
  </si>
  <si>
    <t>48.834695,1.201269</t>
  </si>
  <si>
    <t>Le Blanc</t>
  </si>
  <si>
    <t>46.633292,1.062694</t>
  </si>
  <si>
    <t>Erithacus</t>
  </si>
  <si>
    <t>rubecula</t>
  </si>
  <si>
    <t>Lencloître (Le Colombier)</t>
  </si>
  <si>
    <t>46.813891,0.3271012</t>
  </si>
  <si>
    <t>Branches</t>
  </si>
  <si>
    <t>47.8814647,3.4810551</t>
  </si>
  <si>
    <t>Kintzheim (Volerie des aigles)</t>
  </si>
  <si>
    <t>48.2550027,7.396165</t>
  </si>
  <si>
    <t>Audenge</t>
  </si>
  <si>
    <t>44.6883648,-1.0198568</t>
  </si>
  <si>
    <t>La Teste-de-Buch</t>
  </si>
  <si>
    <t>44.6316943,-1.1491319</t>
  </si>
  <si>
    <t>Castillon-du-Gard</t>
  </si>
  <si>
    <t>43.9706254,4.554361</t>
  </si>
  <si>
    <t>La Châtre</t>
  </si>
  <si>
    <t>46.5815678,1.9892292</t>
  </si>
  <si>
    <t>Maxéville</t>
  </si>
  <si>
    <t>48.7119046,6.1641314</t>
  </si>
  <si>
    <t>Laxou</t>
  </si>
  <si>
    <t>48.6848709,6.1522232</t>
  </si>
  <si>
    <t>72</t>
  </si>
  <si>
    <t>Arçonnay</t>
  </si>
  <si>
    <t>48.3953018,0.0853037</t>
  </si>
  <si>
    <t>Locoal-Mendon</t>
  </si>
  <si>
    <t>47.711724,-3.1050963</t>
  </si>
  <si>
    <t>Pluvigner</t>
  </si>
  <si>
    <t>47.7770909,-3.0095755</t>
  </si>
  <si>
    <t>Merlevenez</t>
  </si>
  <si>
    <t>47.7359916,-3.2351341</t>
  </si>
  <si>
    <t>Saint-Ouen-les-Vignes</t>
  </si>
  <si>
    <t>47.467625,0.9925714</t>
  </si>
  <si>
    <t>*Orléans (Fédération des chasseurs 45)</t>
  </si>
  <si>
    <t>47.9027336,1.9086066</t>
  </si>
  <si>
    <t>Avion</t>
  </si>
  <si>
    <t>50.4126128,2.8343891</t>
  </si>
  <si>
    <t>Monthelon</t>
  </si>
  <si>
    <t>46.9576912,4.2247001</t>
  </si>
  <si>
    <t>Hénon</t>
  </si>
  <si>
    <t>48.3851457,-2.6836514</t>
  </si>
  <si>
    <t>Yzeure</t>
  </si>
  <si>
    <t>46.5676568,3.3539775</t>
  </si>
  <si>
    <t>*Rambouillet (ONF)</t>
  </si>
  <si>
    <t>48.6452851,1.819207</t>
  </si>
  <si>
    <t>27</t>
  </si>
  <si>
    <t>Verneuil-sur-Avre (Domaine de la Forêt Enchantée)</t>
  </si>
  <si>
    <t>48.7373168,0.9434229</t>
  </si>
  <si>
    <t>Chaulhac</t>
  </si>
  <si>
    <t>44.922,3.25762</t>
  </si>
  <si>
    <t>Rhodes (Parc animalier de Sainte-Croix)</t>
  </si>
  <si>
    <t>48.7584377,6.8985177</t>
  </si>
  <si>
    <t>*Vals-près-le-Puy (Fédération des chasseur 43)</t>
  </si>
  <si>
    <t>45.0300955,3.8757116</t>
  </si>
  <si>
    <t>Rivières</t>
  </si>
  <si>
    <t>43.9144479,1.9627734</t>
  </si>
  <si>
    <t>*Crest (Fédération des chasseur 26)</t>
  </si>
  <si>
    <t>44.7282675,5.0236641</t>
  </si>
  <si>
    <t>Le Garn</t>
  </si>
  <si>
    <t>44.3065698,4.4720906</t>
  </si>
  <si>
    <t>Nimes</t>
  </si>
  <si>
    <t>43.8374249,4.3600687</t>
  </si>
  <si>
    <t>Guilly</t>
  </si>
  <si>
    <t>47.0811896,1.7254643</t>
  </si>
  <si>
    <t>Bréau</t>
  </si>
  <si>
    <t>48.5620927,2.8806749</t>
  </si>
  <si>
    <t>Ville-sur-Illon</t>
  </si>
  <si>
    <t>48.1797,6.2103</t>
  </si>
  <si>
    <t>Garrulus</t>
  </si>
  <si>
    <t>glandarius</t>
  </si>
  <si>
    <t>Rambouillet</t>
  </si>
  <si>
    <t>Briis-sous-Forges</t>
  </si>
  <si>
    <t>48.6246916,2.1243349</t>
  </si>
  <si>
    <t>Poecile</t>
  </si>
  <si>
    <t>atricapillus</t>
  </si>
  <si>
    <t>Reims</t>
  </si>
  <si>
    <t>49.2577886,4.031926</t>
  </si>
  <si>
    <t>Charmoy</t>
  </si>
  <si>
    <t>47.9403036,3.4886113</t>
  </si>
  <si>
    <t>Grenoble</t>
  </si>
  <si>
    <t>45.1875602,5.7357819</t>
  </si>
  <si>
    <t>Merry-Sec</t>
  </si>
  <si>
    <t>47.6562314,3.4846272</t>
  </si>
  <si>
    <t>Passer</t>
  </si>
  <si>
    <t>domesticus</t>
  </si>
  <si>
    <t>Brumath</t>
  </si>
  <si>
    <t>48.7309406,7.708107</t>
  </si>
  <si>
    <t>Les Avenières Veyrins-Thuellin</t>
  </si>
  <si>
    <t>45.6346021,5.5723657</t>
  </si>
  <si>
    <t>25/07/216</t>
  </si>
  <si>
    <t>Saint-Maurice-sur-Dargoire</t>
  </si>
  <si>
    <t>45.5825371,4.6313999</t>
  </si>
  <si>
    <t>30/08/2017 approx.</t>
  </si>
  <si>
    <t>21/08/2018 apprx.</t>
  </si>
  <si>
    <t>Galliformes</t>
  </si>
  <si>
    <t>Tetrao</t>
  </si>
  <si>
    <t>urogallus</t>
  </si>
  <si>
    <t>22/08/2018 apprx.</t>
  </si>
  <si>
    <t>27/08/2018 apprx.</t>
  </si>
  <si>
    <t>05/09/2018 apprx.</t>
  </si>
  <si>
    <t>11/09/018 apprx.</t>
  </si>
  <si>
    <t>25/09/2018 apprx.</t>
  </si>
  <si>
    <t>20/09/2018 apprx.</t>
  </si>
  <si>
    <t>24/09/2018 apprx.</t>
  </si>
  <si>
    <t>03/10/2018 apprx.</t>
  </si>
  <si>
    <t>17/10/2018 apprx.</t>
  </si>
  <si>
    <t>2705 (vrai N° ech. 8899)</t>
  </si>
  <si>
    <t>Rhone2705/France/2015</t>
  </si>
  <si>
    <t xml:space="preserve">KX601692 </t>
  </si>
  <si>
    <t>&gt;Usutu virus isolate USUV-Rhone2705/France/2015, NS5 gene, partial cds</t>
  </si>
  <si>
    <t>TACAACATGATGGGGAAGCGTGAGAAGAAGCTCGGAGAGTTTGGCAAAGCGAAAGGCAGTCGAGCCATATGGTTCATGTGGCTAGGCGCCAGATTCCTGGAGTTTGAAGCCTTGGGCTTTCTGAACGAGGACCATTGGTTAGGAAGAAAGAATTCTGGAGGAGGTGTTGAAGGGCTTGGTGTCCAAAAGCTTGGTTACATTCTGCGGGAAATGAGCCACCACTCAGGTGGGAAAATGTACGCAGATGACACGGCCGGCTGGGACACCCGGATAACCAGAGCTGATCTTGACAACGAGGCCAAGGTTTTAGAGCTGATGGAAGGTGAGCACAGACAACTGGCCAGAGCAATCATTGAGCTGACCTACAAACACAAGGTGGTGAAAGTTATGCGACCTGGCACAGATGGGAAGACCGTCATGGACGTGATCTCCCGAGAAGACCAGAGAGGAAGTGGACAGGTTGTGACCTATGCTCTCAACACATTCACCAACATTGCTGTCCAGCTCATCAGACTGATGGAAGCTGAAGGAGTGATTGGGCAGGAACATTTGGAAAGTCTTCCCCGGAAAACTAAATACGCTGTAAGAACCTGGCTTTTTGAGAACGGAGAAGAAAGAGTAACCCGTATGGCTGTGAGTGGAGATGATTGCGTTGTCAAGCCCCTGGATGATCGGTTTGCCAACGCCCTGCACTTTCTCAATTCGATGTCTAAGGTCAGAAAAGACGTGCCAGAGTGGAAACCCTCCTCGGGATGGCACGATTGGCAGCAAGTGCCTTTCTGCTCAAACCACTTTCAGGAATTGATCATGAAGGACGGAAGGACTTTGGTGGTTCCCTGCCGAGGCCAGGATGAACTCATTGGGAGGGCGCGAGTCTCCCCCGGCTCTGGATGGAATGTTAGGGACACCGCATGCTTGGCCAAGGCCTACGCTCAGATGTGGCTCCTGTTGTACTTCCACAGAAGAGATCTGAGGCTGATGGCAAACGCCATCTGCTCAGCAGTCCCTAGCAATTGGATCCCCACTGGCAGGACATCATGGTCAGTGCATGCCACAGGTGAATGGATGACAGCTGATGACATGTT</t>
  </si>
  <si>
    <t>HautRhin7315/France/2015</t>
  </si>
  <si>
    <t xml:space="preserve">KX601690 </t>
  </si>
  <si>
    <t>&gt;Usutu virus isolate USUV-HautRhin7315/France/2015, NS5 gene, partial cds</t>
  </si>
  <si>
    <t>TACAACATGATGGGGAAGCGTGAGAAGAAGCTCGGAGAGTTTGGCAAAGCGAAAGGTAGTCGAGCCATATGGTTCATGTGGCTAGGCGCCAGATTCCTGGAGTTTGAAGCCCTGGGCTTTCTGAATGAGGACCATTGGTTAGGAAGAAAGAATTCTGGAGGAGGTGTTGAAGGACTTGGTGTCCAAAAACTTGGCTACATTCTGCGTGAGATGAGCCACCACTCAGGTGGAAAAATGTACGCGGATGACACAGCCGGCTGGGACACCCGGATAACCAGAGCCGATCTTGACAACGAGGCCAAAGTTTTGGAGCTGATGGAAGGTGAGCACAGACAACTAGCAAGAGCAATCATTGAGCTGACCTACAAACACAAGGTGGTGAAAGTTATGCGACCTGGCACAGATGGGAAGACCGTCATGGATGTGATTTCCCGAGAAGATCAGAGAGGAAGTGGACAGGTTGTGACCTATGCTCTCAACACATTCACCAACATTGCCGTCCAGCTCATTAGACTGATGGAAGCTGAAGGAGTGATTGGGCAGGAACATCTGGAAAGTCTTCCCCGGAAAACCAAATACGCTGTGAGAACCTGGCTCTTTGAGAACGGAGAAGAAAGGGTGACCCGTATGGCTGTGAGTGGAGATGATTGTGTTGTCAAGCCCCTGGATGATCGGTTTGCCAATGCCCTGCACTTTCTCAATTCGATGTCCAAGGTCAGAAAAGACGTGCCAGAGTGGAAACCCTCCTCGGGATGGCACGATTGGCAGCAAGTGCCTTTCTGCTCAAACCACTTTCAGGAATTGATCATGAAGGACGGAAGGACTTTGGTGGTTCCCTGCCGGGGTCAGGATGAACTCATTGGGAGGGCGCGAGTCTCCCCCGGCTCTGGATGGAATGTTAGGGACACCGCATGCTTGGCCAAGGCCTACGCTCAGATGTGGCTCCTGCTGTACTTCCACAGAAGAGATCTGAGGCTGATGGCAAACGCCATCTGTTCAGCAGTCCCCAGCAACTGGGTTCCCACTGGCAGGACTTCATGGTCAGTGCATGCCACAGGTGAATGGATGACAACTGATGACATGTT</t>
  </si>
  <si>
    <t>HautRhin7316/France/2015</t>
  </si>
  <si>
    <t xml:space="preserve">KX601691 </t>
  </si>
  <si>
    <t>&gt;Usutu virus isolate USUV-HautRhin7316/France/2015, NS5 gene, partial cds</t>
  </si>
  <si>
    <t>TACAACATGATGGGGAAGCGTGAGAAGAAGCTCGGAGAGTTTGGCAAAGCGAAAGGTAGTCGAGCCATATGGTTCATGTGGCTAGGCGCCAGATTCCTGGAGTTTGAAGCCCTGGGCTTTCTGAATGAGGACCATTGGTTAGGAAGAAAGAATTCTGGAGGAGGTGTTGAAGGACTTGGTGTCCAAAAACTTGGCTACATTCTGCGTGAGATGAGCCACCACTCAGGTGGAAAAATGTACGCGGATGACACAGCCGGCTGGGACACCCGGATAACCAGAGCCGATCTTGACAACGAGGCCAAAGTTTTGGAGCTGATGGAAGGTGAGCACAGACAACTAGCAAGAGCAATCATTGAGCTGACCTACAAACACAAGGTGGTGAAAGTTATGCGACCTGGCACAGATGGGAAGACCGTCATGGATGTGATTTCCCGAGAAGATCAGAGAGGAAGTGGACAGGTTGTGACCTATGCTCTCAACACATTCACCAACATTGCCGTCCAGCTCATTAGACTGATGGAAGCTGAAGGAGTGATTGGGCAGGAACATCTGGAAAGTCTTCCCCGGAAAACCAAATACGCTGTGAGAACCTGGCTCTTTGAGAACGGAGAAGAAAGGGTGACCCGTATGGCTGTGAGTGGAGATGATTGTGTTGTCAAGCCCCTGGATGATCGGTTTGCCAATGCCCTGCACTTTCTCAATTCGATGTCCAAGGTCAGAAAAGACGTGCCAGAGTGGAAACCCTCCTCGGGATGGCACGATTGGCAGCAAGTGCCTTTCTGCTCAAACCACTTTCAGGAATTGATCATGAAGGACGGAAGGACTTTGGTGGTTCCCTGCCGGGGTCAAGATGAACTCATTGGGAGGGCGCGAGTCTCCCCCGGCTCTGGATGGAATGTTAGGGACACCGCATGCTTGGCCAAGGCCTACGCTCAGATGTGGCTCCTGCTGTACTTCCACAGAAGAGATCTGAGGCTGATGGCAAACGCCATCTGTTCAGCAGTCCCCAGCAACTGGGTTCCCACTGGCAGGACTTCATGGTCAGTGCATGCCACAGGTGAATGGATGACAACTGATGACATGTT</t>
  </si>
  <si>
    <t>GCTAGGCGCCAGATTCCTGGAGTTTGAAGCCCTGGGCTTTCTGAATGAGGACCATTGGTTAGGAAGAAAGAATTCTGGAGGAGGTGTTGAAGGACTTGGTGTCCAAAAACTTGGCTACATTCTGCGTGAGATGAGCCACCACTCAGGTGGAAAAATGTACGCGGATGACACAGCCGGCTGGGACACCCGGATAACCAGAGCCGATCTTGACAACGAGGCCAAAGTTTTGGAGCTGATGGAAGGTGAGCACAGACAACTAGCAAGAGCAATCATTGAGCTGACCTACAAACACAAGGTGGTGAAAGTTATGCGACCTGGCACAGATGGGAAGACCGTCATGGATGTGATTTCCCGAGAAGATCAGAGAGGAAGTGGACAGGTTGTGACCTATGCTCTCAACACATTCACCAACATTGCCGTCCAGCTCATTAGACTGATGGAAGCTGAAGGAGTGATTGGGCAGGAACATCTGGAAAGTCTTCCCCGGAAAACCAAATACGCTGTGAGAACCTGGCTCTTTGAGAACGGAGAAGAAAGGGTGACCCGTATGGCTGTGAGTGGAGATGATTGTGTTGTCAAGCCCCTGGATGATCGGTTTGCCAATGCCCTGCACTTTCTCAATTCGATGTCCAAGGTCAGAAAAGACGTGCCAGAGTGGAAACCCTCCTCGGGATGGCACGATTGGCAGCAAGTGCCTTTCTGCTCAAACCACTTTCAGGAATTGATCATGAAGGACGGAAGGACTTTGGTGGTTCCCTGCCGGGGTCAGGATGAACTCATTGGGAGGGCGCGAGTCTCCCCCGGCTCTGGATGGAATGTTAGGGACACCGCATGCTTGGCCAAGGCCTACGCTCAGATGTGGCTCCTGCTGTACTTCCAC</t>
  </si>
  <si>
    <t>GCTAGGCGCCAGATTCCTGGAGTTTGAAGCCTTGGGCTTTCTGAACGAGGACCATTGGTTAGGAAGAAAGAATTCTGGAGGAGGTGTTGAAGGGCTTGGTGTCCAAAAGCTTGGTTACATTCTGCGGGAAATGAGCCACCACTCAGGTGGGAAAATGTACGCAGATGACACGGCCGGCTGGGACACCCGGATAACCAGAGCTGATCTTGACAACGAGGCCAAGGTTTTAGAGCTGATGGAAGGTGAGCACAGACAACTGGCCAGAGCAATCATTGAGCTGACCTACAAACACAAGGTGGTGAAAGTTATGCGACCTGGCACAGACGGGAAGACCGTCATGGACGTGATCTCCCGAGAAGACCAGAGAGGAAGTGGACAGGTTGTGACCTATGCTCTCAACACATTCACCAACATTGCTGTCCAGCTCATCAGACTGATGGAAGCTGAAGGAGTGATTGGGCAGGAACATTTGGAAAGTCTTCCCCGGAAAACTAAATACGCTGTAAGAACCTGGCTTTTTGAGAACGGAGAAGAAAGAGTAACCCGTATGGCTGTGAGTGGAGATGATTGCGTTGTCAAGCCCCTGGATGATCGGTTTGCCAACGCCCTGCACTTTCTCAATTCGATGTCTAAGGTCAGAAAAGACGTGCCAGAGTGGAAACCCTCCTCGGGATGGCACGATTGGCAGCAAGTGCCTTTCTGCTCAAACCACTTTCAGGAATTGATCATGAAGGACGGAAGGACTTTGGTGGTTCCCTGCCGAGGCCAGGATGAACTCATTGGGAGGGCGCGAGTCTCCCCCGGCTCTGGATGGAATGTTAGGGACACCGCATGCTTGGCCAAGGCCTACGCTCAGATGTGGCTCCTGTTGTACTTCCAC</t>
  </si>
  <si>
    <t>GCTAGGCGCCAGATTCCTGGAGTTTGAAGCCTTGGGCTTTCTGAACGAGGACCATTGGTTAGGAAGAAAGAATTCTGGAGGAGGTGTTGAAGGGCTTGGTGTCCAAAAGCTTGGTTACATTCTGCGGGAAATGAGCCACCACTCAGGTGGGAAAATGTACGCAGATGACACGGCCGGCTGGGACACCCGGATAACCAGAGCTGATCTTGACAACGAGGCCAAGGTTTTAGAGCTGATGGAAGGTGAGCACAGACAACTGGCCAGAGCAATCATTGAGCTGACCTACAAACACAAGGTGGTGAAAGTTATGCGACCTGGCACAGATGGGAAGACCGTCATGGACGTGATCTCCCGAGAAGACCAGAGAGGAAGTGGACAGGTTGTGACCTATGCTCTCAACACATTCACCAACATTGCTGTCCAGCTCATCAGACTGATGGAAGCTGAAGGAGTGATTGGACAGGAACATTTGGAAAGTCTTCCCCGGAAAACTAAACACGCTGTAAGAACCTGGCTTTTTGAGAACGGAGAAGAAAGAGTAACCCGTATGGCTGTGAGTGGAGATGATTGCGTTGTCAAGCCCCTGGATGATCGGTTTGCCAATGCCCTGCACTTTCTCAATTCGATGTCTAAGGTCAGAAAAGACGTGCCAGAGTGGAAACCCTCCTCGGGATGGCACGATTGGCAGCAAGTGCCTTTCTGCTCAAACCACTTTCAGGAATTGATCATGAAGGACGGAAGGACTTTGGTGGTTCCCTGCCGAGGCCAGGATGAACTCATTGGGAGGGCGCGAGTCTCCCCCGGCTCTGGATGGAATGTTAGGGACACCGCATGCTTGGCCAAGGCCTACGCTCAGATGTGGCTCCTGTTGTACTTCCAC</t>
  </si>
  <si>
    <t>GCTAGGCGCCAGATTCCTGGAGTTTGAAGCCCTGGGCTTTCTGAATGAGGACCACTGGTTAGGAAGAAAGAATTCTGGAGGAGGTGTTGAAGGGCTTGGTGTCCAAAAACTTGGTTACATTCTGCGTGAGATGAGTCAT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AACCAAATACGCTGTGAGAACCTGGCTCTTTGAGAACGGAGAAGAAAGGGTGACCCGCATGGCTGTGAGTGGAGATGATTGTGTTGTCAAGCCCCTGGATGATCGGTTTGCCAATGCCCTGCACTTTCTCAATTCGATGTCTAAGGTCAGAAAAGACGTGCCAGAGTGGAAACCCTCCTCGGGATGGCACGATTGGCAGCAAGTGCCTTTCTGCTCAAACCACTTTCAGGAATTGATCATGAAGGACGGAAGGACTTTGGTGGTTCCCTGCCGGGGTCAGGATGAACTCATTGGGAGGGCGCGAGTCTCCCCCGGCTCTGGATGGAATGTTAGGGACACCGCATGCTTGGCCAAGGCCTACGCTCAGATGTGGCTCTTACTGTACTTCCAC</t>
  </si>
  <si>
    <t>TACAACATGATGGGGAAGCGTGAGAAGAAGCTCGGAGAGTTTGGCAAAGCGAAAGGCAGTCGAGCTATATGGTTCATGTGGCTAGGCGCCAGATTCCTGGAGTTTGAAGCCCTGGGCTTTCTGAATGAGGACCATTGGTTAGGAAGAAAGAATTCTGGAGGAGGTGTTGAAGGGCTTGGTGTCCAAAAACTTGGTTACATT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AGAACATCTGGAAAGTCTTCCCCGGAAAACCAAATACGCTGTGAGAACCTGGCTCTTTGAGAACGGAGAAGAAAGGGTGACCCGCATGGCTGTGAGTGGAGATGATTGTGTTGTTAAGCCCCTGGATGATCGGTTTGCCAATGCCCTGCACTTTCTCAATTCGATGTCTAAGGTCAGAAAAGACGTGCCAGAGTGGAAACCCTCCTCGGGATGGCACGATTGGCAGCAAGTGCCTTTCTGCTCAAACCACTTTCAGGAATTGATCATGAAGGACGGAAGGACTTTGGTGGTTCCCTGCCGGGGTCAGGATGAACTCATTGGGAGGGCGCGAGTCTCCCCCGGCTCTGGATGGAATGTTAGGGACACCGCATGCTTGGCCAAGGCTTATGCTCAGATGTGGCTCTTACTGTACTTCCACAGAAGAGATCTGAGGTTGATGGCAAACGCCATCTGCTCAGCAGTCCCCAGCAATTGGGTTCCCACTGGCAGGACTTCATGGTCAGTGCATGCCACAGGTGAATGGATGACAACTGATGACATGTT</t>
  </si>
  <si>
    <t>10209/France/68/2016</t>
  </si>
  <si>
    <t>TACAACATGATGGGGAAGCGTGAGAAGAAGCTCGGAGAGTTTGGCAAAGCGAAAGGTAGTCGAGCCATATGGTTCATGTGGCTAGGCGCCAGATTCCTGGAGTTTGAAGCCCTGGGCTTTCTGAATGAGGACCATTGGTTAGGAAGAAAGAATTCTGGAGGAGGTGTTGAAGGACTTGGTGTCCAAAAACTTGGCTACATTCTGCGTGAGATGAGCCACCACTCAGGTGGGAAAATGTACGCGGATGATACAGCCGGCTGGGACACCCGGATAACCAGAGCCGATCTTGACAACGAGGCCAAAGTTTTGGAGCTGATGGAAGGTGAGCACAGACAACTAGCCAGAGCAATCATTGAGCTGACCTACAAACACAAGGTGGTGAAAGTTATGCGACCTGGCACAGATGGGAAGACCGTCATGGATGTGATTTCCCGAGAAGATCAGAGAGGAAGTGGACAGGTTGTGACCTATGCTCTCAACACATTCACCAACATTGCCGTCCAGCTCATTAGACTGATGGAAGCTGAAGGAGTGATTGGGCAGGAACATCTGGAAAGTCTTCCCCGGAAAACCAAATACGCTGTGAGAACCTGGCTCTTTGAGAACGGAGAAGAAAGGGTGACCCGTATGGCTGTGAGTGGAGATGATTGTGTTGTCAAGCCCCTGGATGATCGGTTTGCCAATGCCCTGCACTTTCTCAATTCGATGTCCAAGGTCAGAAAAGACGTGCCAGAGTGGAAACCCTCCTCGGGATGGCACGATTGGCAGCAAGTGCCTTTCTGCTCAAACCACTTTCAGGAATTGATCATGAAGGACGGAAGGACTTTGGTGGTTCCCTGCCGGGGTCAGGATGAACTCATTGGGAGGGCGCGAGTCTCCCCCGGCTCTGGATGGAATGTTAGGGACACCGCATGCTTGGCCAAGGCCTACGCTCAGATGTGGCTCCTGCTGTACTTCCACAGAAGAGATCTGAGGCTGATGGCAAACGCCATCTGTTCAGCAGTCCCCAGCAATTGGGTTCCCACTGGCAGGACTTCATGGTCAGTGCATGCCACAGGTGAATGGATGACAACTGATGACATGTT</t>
  </si>
  <si>
    <t>TACAACATGATGGGGAAGCGTGAGAAGAAGCTCGGAGAGTTTGGCAAAGCGAAAGGTAGTCGAGCCATATGGTTCATGTGGCTAGGCGCCAGATTCCTGGAGTTTGAAGCCCTGGGCTTTCTGAATGAGGACCATTGGTTAGGAAGAAAGAATTCTGGAGGAGGTGTTGAAGGACTTGGTGTCCAAAAACTTGGCTACATTCTGCGTGAGATGAGCCACCACTCAGGTGGAAAAATGTACGCGGATGACACAGCCGGCTGGGACACCCGGATAACCAGAGCCGATCTTGACAACGAGGCCAAAGTTTTGGAGCTGATGGAAGGTGAGCACAGACAACTAGCCAGAGCAATCATTGAGCTGACCTACAAACACAAGGTGGTGAAAGTTATGCGACCTGGCACAGATGGGAAGACCGTCATGGATGTGATTTCCCGAGAAGATCAGAGAGGAAGTGGACAGGTTGTGACCTATGCTCTCAACACATTCACCAACATTGCCGTCCAGCTCATTAGACTGATGGAAGCTGAAGGAGTGATTGGGCAGGAACATCTGGAAAGTCTTCCCCGGAAAACTAAATACGCTGTGAGAACCTGGCTCTTTGAGAACGGAGAAGAAAGGGTGACCCGTATGGCTGTGAGTGGAGATGATTGTGTTGTCAAGCCCCTGGATGATCGGTTTGCCAATGCCCTGCACTTTCTCAATTCGATGTCCAAGGTCAGAAAAGACGTGCCAGAGTGGAAACCCTCCTCGGGATGGCACGATTGGCAGCAAGTGCCTTTCTGCTCAAACCACTTTCAGGAATTGATCATGAAGGACGGAAGGACTTTGGTGGTTCCCTGCCGGGGTCAGGATGAACTCATTGGGAGGGCGCGAGTCTCCCCCGGCTCTGGATGGAATGTTAGGGACACCGCATGCCTGGCCAAGGCCTACGCTCAGATGTGGCTCCTGCTGTACTTCCACAGAAGAGATCTGAGGCTGATGGCAAACGCCATCTGTTCAGCAGTCCCCAGCAACTGGGTTCCCACTGGCAGGACTTCATGGTCAGTGCATGCCACAGGTGAATGGATGACAACTGATGACATGTT</t>
  </si>
  <si>
    <t>GCTAGGCGCCAGATTCCTGGAGTTTGAAGCCCTGGGCTTTCTGAATGAGGACCATTGGTTAGGAAGAAAGAATTCTGGAGGAGGTGTTGAAGGACTTGGTGTCCAAAAACTTGGCTACATTCTGCGTGAGATGAGCCACCACTCAGGTGGAAAAATGTACGCGGATGACACAGCCGGCTGGGACACCCGGATAACCAGAGCCGATCTTGACAACGAGGCCAAAGTTTTGGAGCTGATGGAAGGTGAGCACAGACAACTAGCAAGAGCAATCATTGAGCTGACCTACAAACACAAGGTGGTGAAAGTTATGCGACCTGGCACAGATGGGAAGACCGTCATGGATGTGATTTCCCGAGAAGATCAGAGAGGAAGTGGACAGGTTGTGACCTATGCTCTCAACACATTCACCAACATTGCCGTCCAGCTCATTAGACTGATGGAAGCTGAAGGAGTGATTGGGCAGGAACATCTGGAAAGTCTTCCCCGGAAAACCAAATACGCTGTGAGAACCTGGCTCTTTGAGAACGGAGAAGAAAGGGTGACCCGTATGGCTGTGAGTGGAGATGATTGTGTTGTCAAGCCCCTGGATGATCGGTTTGCCAATGCCCTGCACTTTCTCAATTCGATGTCCAAGGTCAGAAAAGACGTGCCAGAGTGGAAACCCTCCTCGGGATGGCACGATTGGCAGCAAGTGCCTTTCTGCTCAAACCACTTTCAGGAATTGATCATGAAGGACGGAAGGACTTTGGTGGTTCCCTGCCGGGGTCAAGATGAACTCATTGGGAGGGCGCGAGTCTCCCCCGGCTCTGGATGGAATGTTAGGGACACCGCAGGCTTGGCCAAGGCCTACGCTCAGATGTGGCTCCTGCTGTACTTCCAC</t>
  </si>
  <si>
    <t>TACAACATGATGGGGAAGCGTGAGAAGAAGCTCGGAGAGTTTGGCAAAGCGAAAGGCAGTCGAGCTATATGGTTCATGTGGCTAGGCGCCAGATTCCTGGAGTTTGAAGCCCTGGGCTTTCTGAATGAGGACCATTGGTTAGGAAGAAAGAATTCTGGAGGAGGTGTTGAAGGGCTTGGTGTCCAAAAACTTGGTTATATT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AACCAARTACGCTGTGAGAACCTGGCTCTTTGAGAACGGAGAAGAAAGGGTGACCCGCATGGCTGTGAGTGGAGATGATTGTGTTGTCAAGCCCCTGGATGATCGGTTTGCCAATGCCCTGCACTTTCTCAATTCGATGTCTAAGGTCAGAAAAGACGTGCCAGAGTGGAAACCCTCCTCGGGATGGCACGATTGGCAGCAAGTGCCTTTCTGCTCAAACCACTTTCAGGAATTGATCATGAAGGACGGAAGGACTTTGGTGGTTCCCTGCCGGGGTCAGGATGAACTCATTGGGAGGGCGCGAGTCTCCCCCGGCTCTGGATGGAATGTTAGGGACACCGCATGCTTGGCCAAGGCCTACGCTCAGATGTGGCTCTTGCTGTACTTCCACAGAAGAGATCTGAGGTTGATGGCAAACGCCATCTGCTCAGCAGTCCCCAGCAATTGGGTTCCCACTGGCAGGACTTCATGGTCAGTGCATGCCACAGGTGAATGGATGACAACTGATGACATGTT</t>
  </si>
  <si>
    <t>/</t>
  </si>
  <si>
    <t>S.nebulosa-7890/Fra/2016</t>
  </si>
  <si>
    <t>KY128481</t>
  </si>
  <si>
    <t>&gt;Usutu virus isolate S.nebulosa-7890/Fra/2016, NS5 gene, partial cds</t>
  </si>
  <si>
    <t>TACAACATGATGGGGAAGCGTGAGAAGAAGCTCGGAGAGTTTGGCAAAGCGAAAGGTAGTCGAGCCATATGGTTCATGTGGCTAGGCGCCAGATTCCTGGAGTTTGAAGCCCTGGGCTTTCTGAATGAGGACCATTGGTTAGGAAGAAAGAATTCTGGAGGAGGTGTTGAAGGACTTGGTGTCCAAAAACTTGGCTACATTCTGCGTGAGATGAGCCACCACTCAGGTGGAAAAATGTACGCGGATGACACAGCCGGCTGGGACACCCGGATAACCAGAGCCGATCTTGACAACGAGGCCAAAGTTTTGGAGCTGATGGAAGGTGAGCACAGACAACTAGCCAGAGCAATCATTGAGCTGACCTACAAACACAAGGTGGTGAAAGTTATGCGACCTGGCACAGATGGGAAGACCGTCATGGATGTGATTTCCCGAGAAGATCAGAGAGGAAGTGGACAGGTTGTGACCTATGCTCTCAACACATTCACCAACATTGCCGTCCAGCTCATCAGACTGATGGAAGCTGAAGGAGTGATTGGGCAGGAACATCTGGAAAGTCTTCCCCGGAAAACCAAATACGCTGTGAGAACCTGGCTCTTTGAGAACGGAGAAGAAAGGGTGACCCGTATGGCTGTGAGTGGAGATGATTGTGTTGTCAAGCCCCTGGATGATCGGTTTGCCAATGCCCTGCACTTTCTCAATTCGATGTCCAAGGTCAGAAAAGACGTGCCAGAGTGGAAACCCTCCTCGGGATGGCACGATTGGCAGCAAGTGCCTTTCTGCTCAAACCACTTTCAGGAATTGATCATGAAGGACGGAAGGACTTTGGTGGTTCCCTGCCGGGGTCAGGATGAACTCATTGGTAGGGCGCGAGTCTCCCCCGGCTCTGGATGGAATGTTAGGGACACCGCATGCTTGGCCAAGGCCTACGCTCAGATGTGGCTCCTGCTGTACTTCCACAGAAGAGATCTGAGGCTGATGGCAAACGCCATCTGTTCAGCAGTCCCCAGCAATTGGGTTCCCACTGGCAGGACTTCATGGTCAGTGCATGCCACAGGTGAATGGATGACAACTGATGACATGTT</t>
  </si>
  <si>
    <t>TACAACATGATGGGGAAGCGTGAGAAGAAGCTCGGAGAGTTTGGCAAAGCGAAAGGTAGTCGAGCCATATGGTTCATGTGGCTAGGCGCCAGATTCCTGGAGTTTGAAGCCCTGGGCTTTCTGAATGAGGACCATTGGTTAGGAAGAAAGAATTCTGGAGGAGGTGTTGAAGGACTTGGTGTTCAAAAACTTGGCTACATTCTGCGTGAGATGAGCCACCACTCAGGTGGAAAAATGTACGCGGATGACACAGCCGGCTGGGACACCCGGATAACCAGAGCCGATCTTGACAACGAGGCCAAAGTTTTGGAGCTGATGGAAGGTGAGCACAGACAACTAGCCAGAGCAATCATTGAGCTGACCTACAAACACAAGGTGGTGAAAGTTATGCGACCTGGCACAGAAGGGAAGACCGTCATGGATGTGATTTCCCGAGAAGATCAGAGAGGAAGTGGACAGGTTGTGACCTATGCTCTCAACACATTCACCAACATTGCCGTCCAGCTCATTAGACTGATGGAAGCTGAAGGAGTGATTGGGCAGGAACATCTGGAAAGTCTTCCCCGGAAAACCAAATACGCTGTGAGAACCTGGCTCTTTGAGAACGGGGAAGAAAGGGTGACCCGTATGGCTGTGAGTGGAGATGATTGTGTTGTCAAGCCCCTGGATGATCGGTTTGCCAATGCCCTGCACTTTCTCAATTCGATGTCCAAGGTCAGAAAAGACGTGCCAGAGTGGAAACCCTCCTCGGGATGGCACGATTGGCAGCAGGTGCCTTTCTGCTCAAACCACTTTCAGGAATTGATCATGAAGGACGGAAGGACTTTGGTGGTTCCCTGCCGGGGTCAGGATGAACTCATTGGGAGGGCGCGAGTCTCCCCCGGCTCTGGATGGAATGTTAGGGACACCGCATGCTTGGCCAAGGCCTACGCCCAGATGTGGCTCCTGCTGTACTTCCACAGAAGAGATCTGAGGCTGATGGCAAACGCCATCTGTTCAGCAGTCCCCAGCAATTGGGTTCCCACTGGCAGGACTTCATGGTCAGTGCATGCCACAGGTGAATGGATGACAACTGATGACATGTT</t>
  </si>
  <si>
    <t>TACAACATGATGGGGAAGCGTGAGAAGAAGCTCGGAGAGTTTGGCAAAGCGAAAGGCAGTCGAGCTATATGGTTCATGTGGCTAGGCGCCAGATTCCTGGAGTTTGAAGCCCTGGGCTTTCTGAATGAGGACCATTGGTTAGGAAGAAAGAATTCTGGAGGAGGTGTTGAAGGGCTTGGTGTCCAAAAACTTGGTTACATT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TATTGCTGTCCAGCTTATCAGACTGATGGAAGCTGAAGGAGTGATTGGGCAGGAACATCTGGAAAGTCTTCCCCGGAAAACCAAATACGCTGTGAGAACCTGGCTCTTTGAGAACGGAGAAGAAAGGGTGACCCGCATGGCTGTGAGTGGAGATGATTGTGTTGTTAAGCCCCTGGATGATCGGTTTGCCAATGCCCTGCACTTTCTCAATTCGATGTCTAAGGTCAGAAAAGACGTGCCAGAGTGGAAACCCTCCTCGGGATGGCACGATTGGCAGCAAGTGCCTTTCTGCTCAAACCACTTTCAGGAATTGATCATGAAGGACGGAAGGACTTTGGTGGTTCCCTGCCGGGGTCAGGATGAACTCATTGGGAGGGCGCGAGTCTCCCCCGGCTCTGGATGGAATGTTAGGGACACCGCATGCTTGGCCAAGGCCTACGCTCAGATGTGGCTCTTACTGTACTTCCACAGAAGAGATCTGAGGTTGATGGCAAACGCCATCTGCTCAGCAGTCCCCAGCAATTGGGTTCCCACTGGCAGGACTTCATGGTCAGTGCATGCCACAGGTGAATGGATGACAACTGATGACATGTT</t>
  </si>
  <si>
    <t>TACAACATGATGGGGAAGCGTGAGAAGAAGCTCGGAGAGTTTGGCAAAGCGAAAGGCAGTCGAGCTATATGGTTCATGTGGCTAGGCGCCAGATTCCTGGAGTTTGAAGCCCTGGGCTTTCTGAATGAGGACCACTGGTTAGGAAGAAAGAATTCTGGAGGAGGTGTTGAAGGGCTTGGTGTCCAAAAACTTGGTTACATTCTGCGTGAGATGAGTCAT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AACCAAATACGCTGTGAGAACCTGGCTCTTTGAGAACGGAGAAGAAAGGGTGACCCGCATGGCTGTGAGTGGAGATGATTGTGTTGTCAAGCCCCTGGATGATCGGTTTGCCAATGCCCTGCACTTTCTCAATTCGATGTCTAAGGTCAGAAAAGACGTGCCAGAGTGGAAACCCTCCTCGGGATGGCACGATTGGCAGCAAGTGCCTTTCTGCTCAAACCACTTTCAGGAATTGATCATGAAGGACGGAAGGACTTTGGTGGTTCCCTGCCGGGGTCAGGATGAACTCATTGGGAGGGCGCGAGTCTCCCCCGGCTCTGGATGGAATGTTAGGGACACCGCATGCTTGGCCAAGGCCTACGCTCAGATGTGGCTCTTACTGTACTTCCACAGAAGAGATCTGAGGTTGATGGCAAACGCCATCTGCTCAGCAGTCCCCAGCAATTGGGTTCCCACTGGCAGGACTTCATGGTCAGTGCATGCCACAGGTGAATGGATGACAACTGATGACATGTT</t>
  </si>
  <si>
    <t>GCGCCAGATTCCTGGAGTTTGAAGCCCTGGGTTTTCTGAATGAGGACCACTGGTTAGGAAGAAAGAATTCTGGAGGAGGGGTTGAAGGGCTTGGTGTCCAAAAACTTGGTTACATTCTGCGTGAGATGAGTCAT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TAGTGATTGTGCAGGAACATCTGGCAAGTCTTCTCCGGAAAACCAAATACGCTGTGAGAACCTGTCTCTTTGAGAACGGAGAAGAAAGGGTGACCCGCATGCCTGTGAGTGGAGATGATCTGTGTTGTCAAGCCCCTGGATGATCGGTTTGCCAATGCCTTGCACTTTCTCAATTCGATGTCTAAGGTCAGAAAAGACGTGCCAGAGTGGAACCCCTCCTCGGGATGGCACGATTGGCAGCCAGTGCCTATCTGCTCACACCACTTTCAGGAACTGATCATGAAGGACGGAAGGACTTTGGTGGTTCCCTGCCGGGGTCA</t>
  </si>
  <si>
    <t>AAGGCAGTCGAGCTATATGGTTCATGTGGCTAGGCGCCAGATTCCTGGAGTTTGAAGCCCTGGGCTTTCTGAATGAGGACCACTGGTTAGGAAGAAAGAATTCTGGAGGAGGTGTTGAAGGGCTTGGTGTCCAAAAACTTGGTTACATTCTGCGTGAGATGAGTCAT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AACCAAATACGCTGTGAGAACCTGGCTCTTTGAGAACGGAGAAGAAAGGGTGACCCGCATGGCTGTGAGTGGAGATGATTGTGTTGTCAAGCCCCTGGATGATCGGTTTGCCAATGCCCTGCACTTTCTCAATTCGATGTCCAAGGTCAGAAAAGACGTGCCAGAGTGGAAACCCTCCTCGGGATGGCACGATTGGCAGCAAGTGCCTTTCTGCTCAAACCACTTTCAGGAATTGATCATGAAGGACGGAAGGACTTTGGTGGTTCCCTGCCGGGGTCAGGATGAACTCATTGGGAGGGCGCGAGTCTCCCCCGGCTCTGGATGGAATGTTAGGGACACCGCATGCTTGGCCAAGGCCTACGCTCAGATG</t>
  </si>
  <si>
    <t>TACAACATGATGGGGAAGCGTGAGAAGAAGCTCGGAGAGTTTGGCAAAGCGAAAGGCAGTCGAGCTATATGGTTCATGTGGCTAGGCGCCAGATTCCTGGAGTTTGAAGCCCTGGGCTTTCTGAATGAGGACCATTGGTTAGGAAGAAAGAATTCTGGAGGAGGTGTTGAAGGGCTTGGTGTCCAAAAACTTGGTTACATT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TTGATGGAAGCTGAAGGAGTGATTGGGCAGGAACATCTGGAAAGTCTTCCCCGGAAAACCAAATACGCTGTGAGAACCTGGCTCTTTGAGAACGGAGAAGAAAGGGTGACCCGCATGGCTGTGAGTGGAGATGATTGTGTTGTCAAGCCCCTGGATGATCGGTTTGCCAATGCCCTGCACTTTCTCAATTCGATGTCTAAGGTCAGAAAAGACGTGCCAGAGTGGAAACCCTCCTCGGGATGGCACGATTGGCAGCAAGTGCCTTTCTGCTCAAACCACTTTCAGGAATTGATCATGAAGGACGGAAGGACTTTGGTGGTTCCCTGCCGGGGTCAGGATGAACTCATTGGGAGGGCGCGAGTCTCCCCCGGCTCTGGATGGAATGTTAGGGACACCGCATGCTTGGCCAAGGCCTACGCTCAGATGTGGCTCTTGCTGTACTTCCACAGAAGAGATCTGAGGTTGATGGCAAACGCCATCTGCTCAGCAGTCCCCAGCAATTGGGTTCCCACTGGCAGGACTTCATGGTCAGTGCATGCCACAGGTGAATGGATGACAACTGATGACATGTT</t>
  </si>
  <si>
    <t>TACAACATGATGGGGAAGCGTGAGAAGAAGCTCGGAGAGTTTGGCAAAGCGAAAGGCAGTCGAGCCATATGGTTCATGTGGCTAGGCGCCAGATTCCTGGAGTTTGAAGCCCTGGGCTTTCTGAATGAGGACCATTGGTTAGGAAGAAAGAATTCTGGAGGAGGTGTTGAAGGGCTTGGTGTCCAAAAACTTGGTTACATTCTGCGTGAGATGAGTCAT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AACCAAATACGCTGTGAGAACCTGGCTCTTTGAGAACGGAGAAGAAAGGGTGACCCGCATGGCTGTGAGTGGAGATGATTGTGTTGTCAAGCCCCTGGATGATCGGTTTGCCAATGCCCTGCACTTTCTCAATTCGATGTCTAAGGTCAGAAAAGACGTGCCAGAGTGGAAACCCTCCTCGGGATGGCACGATTGGCAGCAAGTGCCTTTCTGCTCAAACCACTTTCAGGAATTGATCATGAAGGACGGAAGGACTTTGGTGGTTCCCTGCCGGGGTCAGGATGAACTCATTGGGAGGGCGCGAGTCTCCCCCGGCTCTGGATGGAATGTTAGGGACACCGCATGCTTGGCCAAGGCCTACGCTCAGATGTGGCTCTTACTGTACTTCCACAGAAGAGATCTGAGGTTGATGGCAAACGCCATCTGCTCAGCAGTCCCCAGCAATTGGGTTCCCACTGGCAGGACTTCATGGTCAGTGCATGCCACAGGTGAATGGATGACAACTGATGACATGTT</t>
  </si>
  <si>
    <t>TACAACATGATGGGGAAGCGTGAGAAGAAGCTCGGAGAGTTTGGCAAAGCGAAAGGCAGTCGAGCTATATGGTTCATGTGGCTAGGCGCCAGATTCCTGGAGTTTGAAGCCCTGGGCTTTCTGAATGAGGACCATTGGTTAGGAAGAAAGAATTCTGGAGGAGGTGTTGAAGGGCTTGGTGTCCAAAAACTTGGTTATATT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AACCAAATACGCTGTGAGAACCTGGCTCTTTGAGAACGGAGAAGAAAGGGTGACCCGCATGGCTGTGAGTGGAGATGATTGTGTTGTCAAGCCCCTGGATGATCGGTTTGCCAATGCCCTGCACTTTCTCAATTCGATGTCTAAGGTCAGAAAAGACGTGCCAGAGTGGAAACCCTCCTCGGGATGGCACGATTGGCAGCAAGTGCCTTTCTGCTCAAACCACTTTCAGGAATTGATCATGAAGGACGGAAGGACTTTGGTGGTTCCCTGCCGGGGTCAGGATGAACTCATTGGGAGGGCGCGAGTCTCCCCCGGCTCTGGATGGAATGTTAGGGACACCGCATGCTTGGCCAAGGCCTACGCTCAGATGTGGCTCTTGCTGTACTTCCACAGAAGAGATCTGAGGTTGATGGCAAACGCCATCTGCTCAGCAGTCCCCAGCAATTGGGTTCCCACTGGCAGGACTTCATGGTCAGTGCATGCCACAGGTGAATGGATGACAACTGATGACATGTT</t>
  </si>
  <si>
    <t>HauteVienne4997/France/2018</t>
  </si>
  <si>
    <t xml:space="preserve">MT863562 </t>
  </si>
  <si>
    <t>&gt;Usutu virus isolate HauteVienne4997/France/2018, NS5 gene, partial cds</t>
  </si>
  <si>
    <t>TACAACATGATGGGGAAGCGTGAGAAGAAGCTCGGAGAGTTTGGCAAAGCGAAAGGCAGTCGAGCTATATGGTTCATGTGGCTAGGCGCCAGATTCCTGGAGTTTGAAGCCCTGGGCTTTCTGAATGAGGACCATTGGTTAGGAAGAAAGAATTCTGGAGGAGGTGTTGAAGGGCTTGGTGTCCAAAAACTTGGTTACATC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AACCAAATACGCTGTGAGAACCTGGCTCTTTGAGAACGGAGAAGAAAGGGTGACCCGCATGGCTGTGAGTGGAGATGATTGTGTTGTTAAGCCCCTGGATGATCGGTTTGCCAATGCCCTGCACTTTCTCAATTCGATGTCTAAGGTCAGAAAAGACGTGCCAGAGTGGAAACCCTCCTCGGGATGGCACGATTGGCAGCAAGTGCCTTTCTGCTCAAACCACTTTCAGGAATTGATCATGAAGGACGGAAGGACTTTGGTGGTTCCCTGCCGGGGTCAGGATGAACTCATTGGGAGGGCGCGAGTCTCCCCCGGCTCTGGATGGAATGTTAGGGACACCGCATGCTTGGCCAAGGCCTACGCTCAGATGTGGCTCTTACTGTACTTCCACAGAAGAGATCTGAGGTTGATGGCAAACGCCATCTGCTCAGCAGTCCCCAGCAATTGGGTTCCCACTGGCAGGACTTCATGGTCAGTGCATGCCACAGGTGAATGGATGACAACTGATGACATGTT</t>
  </si>
  <si>
    <t>TACAACATGATGGGGAAGCGTGAGAAGAAGCTCGGAGAGTTTGGCAAAGCGAAAGGCAGTCGAGCTATATGGTTCATGTGGCTAGGCGCCAGATTCCTGGAGTTTGAAGCCCTGGGCTTTCTGAATGAGGACCATTGGTTAGGAAGAAAGAATTCTGGAGGAGGTGTTGAAGGGCTTGGTGTCCAAAAACTTGGTTATATT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AACCAAATACGCTGTGAGAACCTGGCTCTTTGAGAACGGAGAAGAAAGGGTGACCCGCATGGCTGTGAGTGGAGATGATTGTGTTGTCAAGCCCCTGGATGATCGGTTTGCCAATGCCTTGCACTTTCTCAATTCGATGTCTAAGGTCAGAAAAGACGTGCCAGAGTGGAAACCCTCCTCGGGATGGCACGATTGGCAGCAAGTGCCTTTCTGCTCAAACCACTTTCAGGAATTGATCATGAAGGACGGAAGGACTTTGGTGGTTCCCTGCCGGGGTCAGGATGAACTCATTGGGAGGGCGCGAGTCTCCCCCGGCTCTGGATGGAATGTTAGGGACACCGCATGCTTGGCCAAGGCCTACGCTCAGATGTGGCTCTTGCTGTACTTCCACAGAAGAGATCTGAGGTTGATGGCAAACGCCATCTGCTCAGCAGTCCCCAGCAATTGGGTTCCCACTGGCAGGACTTCATGGTCAGTGCATGCCACAGGTGAATGGATGACAACTGATGACATGTT</t>
  </si>
  <si>
    <t>CGAAAGGCAGTCGAGCTATATGGTTCATGTGGCTAGGCGCCAGATTCCTGGAGTTTGAAGCCCTGGGCTTTCTGAATGAGGACCATTGGTTAGGAAGAAAGAATTCTGGAGGAGGTGTTGAAGGGCTTGGTGTCCAAAAACTTGGTTACATTCTGCGTGAGATGAGTCATCATTCAGGTGGGAGAATGTACGCAGATGACACAGCCGGCTGGGACACCCGGATAACCAGGGCCGATCTTGATAACGAGGCCAAAGTTTTGGAGC</t>
  </si>
  <si>
    <t>GAGAAGAAGCTCGGAGAGTTTGGCAAAGCGAAAGGCAGTCGAGCTATATGGTTCATGTGGCTAGGCGCCAGATTCCTGGAGTTTGAAGCCCTGGGCTTTCTGAATGAGGACCATTGGTTAGGAAGAAAGAATTCTGGAGGAGGTGTTGAAGGGCTTGGTGTCCAAAAACTTGGTTATATTCTGCGTGAGATGAGTCACCATTCAGGTGGGAGAATGTACGCAGATGACACAGCCGGCTGGGACACCCGGATAACCAGGGCCGATCTTGATAACGAGGCCAAAGTTTTGGAGC</t>
  </si>
  <si>
    <t>GAGAAGAAGCTCGGAGAGTTTGGCAAAGCGAAAGGCAGTCGAGCTATATGGTTCATGTGGCTAGGCGCCAGATTTCTGGAGTTTGAAGCCCTGGGCTTTCTGAATGAGGACCATTGGTTAGGAAGAAAGAATTCTGGAGGAGGTGTTGAAGGGCTTGGTGTCCAAAAACTTGGTTACATTCTGCGTGAGATGAGTCACCATTCAGGTGGGAGAATGTACGCAGATGACACAGCCGGCTGGGACACCCGGATAACCAGGGCCGATCTTGATAACGAGGCCAAAGTTTTGGAGC</t>
  </si>
  <si>
    <t>GAGAAGAAGCTCGGAGAGTTTGGCAAAGCGAAAGGCAGTCGAGCTATATGGTTCATGTGGCTAGGCGCCAGATTCCTGGAGTTTGAAGCCCTGGGCTTTCTGAATGAGGATCATTGGTTAGGAAGAAAGAATTCTGGAGGAGGTGTTGAAGGGCTTGGTGTCCAAAAACTTGGTTACATTCTGCGTGAGATGAGTCACCATTCAGGTGGGAGAATGTACGCAGATGACACAGCCGGCTGGGACACCCGGATAACCAGGGCCGATCT</t>
  </si>
  <si>
    <t>GAGAAGAAGCTCGGAGAGTTTGGCAAAGCGAAAGGTAGTCGAGCCATATGGTTCATGTGGTTAGGCGCCAGATTTCTGGAGTTTGAAGCCCTGGGCTTTCTGAATGAGGACCATTGGTTAGGAAGAAAGAATTCTGGAGGAGGTGTTGAAGGACTTGGTGTCCAAAAACTAGGCTACATTCTGCGTGAGATGAGCCACCACTCAGGTGGAAAAATGTACGCGGATGACACAGCCGGCTGGGACACCCGGATAACCAGAGCCGATCTTGATAACGAGGCCAAAGTTTTGGAGC</t>
  </si>
  <si>
    <t>GAGAAGAAGCTCGGAGAGTTTGGCAAAGCGAAAGGCAGTCGAGCTATATGGTTCATGTGGCTAGGCGCCAGATTCCTGGAGTTTGAAGCCCTGGGCTTTCTGAATGAGGACCATTGGTTAGGAAGAAAGAATTCTGGAGGAGGTGTTGAAGGGCTTGGTGTCCAAAAACTTGGTTACATTCTGCGTGAGATGAGTCACCATTCAGGTGGGAGAATGTACGCAGATGACACAGCCGGCTGGGACACCCGGATAACCAGGGCCGATCTTGATAACGAGGCCAAAGTTTTGGAGC</t>
  </si>
  <si>
    <t>TACAACATGATGGGGAAGCGTGAGAAGAAGCTCGGAGAGTTTGGCAAAGCGAAAGGCAGTCGAGCTATATGGTTCATGTGGCTAGGCGCCAGATTCCTGGAGTTTGAAGCCCTGGGCTTTCTGAATGAGGACCATTGGCTAGGAAGAAAGAACTCTGGAGGAGGTGTTGAAGGGCTTGGTGTCCAAAAACTTGGTTACATT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TCAGCTTATCAGACTGATGGAAGCTGAAGGAGTGATTGGGCAGGAACATCTGGAAAGTCTTCCCCGGAAAACCAAACACGCTGTGAGAACCTGGCTCTTTGAGAACGGAGAAGAAAGGGTGACCCGCATGGCTGTGAGTGGAGATGATTGTGTTGTCAAGCCCCTGGATGATCGGTTTGCCAATGCCCTGCACTTTCTCAATTCGATGTCTAAGGTCAGAAAAGACGTGCCAGAGTGGAAACCCTCCTCGGGATGGCACGATTGGCAGCAAGTGCCTTTCTGCTCAAACCACTTTCAGGAATTGATCATGAAGGACGGAAGGACTTTGGTGGTTCCCTGCCGGGGTCAGGATGAACTCATTGGGAGGGCGCGAGTCTCCCCCGGCTCTGGATGGAATGTTAGAGACACCGCATGCTTGGCCAAGGCCTACGCTCAGATGTGGCTCTTGCTGTACTTCCACAGAAGAGATCTGAGGTTGATGGCAAACGCCATCTGCTCAGCAGTCCCCAGCAATTGGGTTCCCACTGGCAGGACTTCATGGTCAGTGCATGCCACAGGTGAATGGATGACAACTGATGACATGTT</t>
  </si>
  <si>
    <t>GAGAAGAAGCTCGGAGAGTTTGGCAAAGCGAAAGGCAGTCGAGCTATATGGTTCATGTGGCTAGGCGCCAGATTCCTGGAGTTTGAAGCCCTGGGCTTTCTGAATGAGGACCATTGGTTAGGAAGAAAGAATTCTGGAGGAGGTGTTGAAGGGCTTGGTGTCCAAAAACTTGGTTACATTCTGCGTGAGATGAGTCACCATTCAGGTGGGAGAATGTACGCAGATGACACAGCCGGCTGGGACACCCGGATAACCAGGGCCGAT</t>
  </si>
  <si>
    <t>TACAACATGATGGGGAAGCGTGAGAAGAAGCTCGGAGAGTTTGGCAAAGCGAAAGGCAGTCGAGCTATATGGTTCATGTGGCTAGGCGCCAGATTCCTGGAGTTTGAAGCCCTGGGCTTTCTGAATGAGGACCATTGGTTAGGAAGAAAGAATTCTGGAGGAGGTGTTGAAGGGCTTGGTGTCCAAAAACTTGGTTATATT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AACCAAGTACGCTGTGAGAACCTGGCTCTTTGAGAACGGAGAAGAAAGGGTGACCCGCATGGCTGTGAGTGGAGATGATTGTGTTGTCAAGCCCCTGGATGATCGGTTTGCCAATGCCCTGCACTTTCTCAATTCGATGTCTAAGGTCAGAAAAGACGTGCCAGAGTGGAAACCCTCCTCGGGATGGCACGATTGGCAGCAAGTGCCTTTCTGCTCAAACCACTTTCAGGAATTGATCATGAAGGACGGAAGGACTTTGGTGGTTCCCTGCCGGGGTCAGGATGAACTCATTGGGAGGGCGCGAGTCTCCCCCGGCTCTGGATGGAATGTTAGGGACACCGCATGCTTGGCCAAGGCCTACGCTCAGATGTGGCTCTTGCTGTACTTCCACAGAAGAGATCTGAGGTTGATGGCAAACGCCATCTGCTCAGCAGTCCCCAGCAATTGGGTTCCCACTGGCAGGACTTCATGGTCAGTGCATGCCACAGGTGAATGGATGACAACTGATGACATGTT</t>
  </si>
  <si>
    <t>GAGAAGAAGCTCGGAGAGTTTGGCAAAGCGAAAGGCAGTCGAGCTATATGGTTCATGTGGCTAGGCGCCAGATTCCTGGAGTTTGAAGCCCTGGGCTTTCTGAATGAGGACCATTGGTTAGGAAGAAAGAATTCTGGAGGAGGTGTTGAAGGGCTTGGTGTCCAAAAACTTGGTTATATTCTGCGTGAGATGAGTCACCATTCAGGTGGGAGAATGTACGCAGATGACACAGCCGGCTGGGACACCCGGATAACCAGGGCCGATCT</t>
  </si>
  <si>
    <t>GAGAAGAAGCTCGGAGAGTTTGGCAAAGCGAAAGGCAGTCGAGCTATATGGTTCATGTGGCTAGGCGCCAGATTCCTGGAGTTTGAAGCCCTGGGCTTTCTGAATGAGGACCATTGGTTAGGAAGAAAGAATTCTGGAGGAGGTGTTGAAGGGCTTGGTGTCCAAAAACTTGGTTACATTCTGCGTGAGGTGAGTCACCATTCAGGTGGGAGAATGTACGCAGATGACACAGCCGGCTGGGACACCCGGATAACCAGGGCCGATCT</t>
  </si>
  <si>
    <t>GAGAAGAAGCTCGGAGAGTTTGGCAAAGCGAAAGGCAGTCGAGCTATATGGTTCATGTGGCTAGGCGCCAGATTCCTGGAGTTTGAAGCCCTGGGCTTTCTGAATGAGGATCATTGGTTAGGAAGAAAGAATTCTGGAGGAGGTGTTGAAGGGCTTGGTGTCCAAAAACTTGGTTACATTCTGCGTGAGATGAGTCACCATTCAGGTGGGAGAATGTACGCAGATGACACAGCCGGCTGGGACACCCGGATAACCAGGGCCGATCTTGATAACGAGGCCAAAGTTTTGGAGC</t>
  </si>
  <si>
    <t>TACAACATGATGGGGAAGCGTGAGAAGAAGCTCGGAGAGTTTGGCAAAGCGAAAGGCAGTCGAGCTATATGGTTCATGTGGCTAGGCGCCAGATTCCTGGAGTTTGAAGCCCTGGGCTTTCTGAATGAGGACCATTGGTTAGGAAGAAAGAATTCTGGAGGAGGTGTTGAAGGGCTTGGTGTCCAAAAACTTGGTTATATT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GACCAAATACGCTGTGAGAACCTGGCTCTTTGAGAACGGAGAAGAAAGGGTGACCCGCATGGCTGTGAGTGGAGATGATTGTGTTGTCAAGCCCCTGGATGATCGGTTTGCCAATGCCTTGCACTTTCTCAATTCGATGTCTAAGGTCAGAAAAGACGTGCCAGAGTGGAAACCCTCCTCGGGATGGCACGATTGGCAGCAAGTGCCTTTCTGCTCAAACCACTTTCAGGAATTGATCATGAAGGACGGAAGGACTTTGGTGGTTCCCTGCCGGGGTCAGGATGAACTCATTGGGAGGGCGCGAGTCTCCCCCGGCTCTGGATGGAATGTTAGGGACACCGCATGCTTGGCCAAGGCCTACGCTCAGATGTGGCTCTTGCTGTACTTCCACAGAAGAGATCTGAGGTTGATGGCAAACGCCATCTGCTCAGCAGTCCCCAGCAATTGGGTTCCCACTGGCAGGACTTCATGGTCAGTGCATGCCACAGGTGAATGGATGACAACTGATGACATGTT</t>
  </si>
  <si>
    <t>TACAACATGATGGGGAAGCGTGAGAAGAAGCTCGGAGAGTTTGGCAAAGCGAAAGGTAGTCGAGCCATATGGTTCATGTGGCTAGGCGCCAGATTCCTGGAGTTTGAAGCCCTGGGCTTTCTGAATGAGGACCATTGGTTAGGAAGAAAGAATTCTGGAGGAGGTGTTGAAGGACTTGGTGTCCAAAAACTTGGCTACATTCTGCGTGAGATGAGCCACCACTCAGGTGGAAAAATGTACGCGGATGACACAGCCGGCTGGGACACCCGGATAACCAGAGCCGATCTTGACAACGAGGCCAAAGTTTTGGAGCTGATGGAAGGTGAGCACAGACAACTAGCCAGAGCAATCATTGAGCTGACCTACAAACACAAGGTGGTGAAAGTTATGCGACCTGGCACAGATGGGAAGACCGTCATGGATGTGATTTCCCGAGAAGATCAGAGAGGAAGTGGACAGGTTGTGACCTATGCTCTCAACACATTCACCAACATTGCCGTCCAGCTCATTAGACTGATGGAAGCTGAAGGAGTGATTGGGCAGGAACATCTGGAAAGTCTTCCCCGGAAAACCAAATACGCTGTGAGAACCTGGCTCTTTGAGAACGGAGAAGAAAGGGTGACCCGTATGGCTGTGAGTGGAGATGATTGTGTTGTCAAGCCCCTGGATGATCGGTTTGCCAATGCCCTGCACTTTCTCAATTCGATGTCCAAGGTCAGAAAAGACGTGCCAGAGTGGAAACCTTCCTCGGGATGGCACGATTGGCAGCAAGTGCCTTTCTGCTCAAACCACTTTCAGGAATTGATCATGAAGGACGGAAGGACTTTGGTGGTTCCCTGCCGGGGTCAGGATGAACTCATTGGGAGGGCGCGAGTCTCCCCCGGCTCTGGATGGAATGTTAGGGACACCGCATGCTTGGCCAAGGCCTACGCTCAGATGTGGCTCCTGCTGTACTTCCACAGAAGAGATCTGAGGCTGATGGCAAACGCCATCTGTTCAGCAGTCCCCAGCAATTGGGTTCCCACTGGCAGGACTTCATGGTCAGTGCATGCCACAGGTGAATGGATGACAACTGATGACATGTT</t>
  </si>
  <si>
    <t>GAGAAGAAGCTCGGAGAGTTTGGCAAAGCGAAAGGCAGTCGAGCTATATGGTTCATGTGGCTAGGCGCCAGATTCCTGGAGTTTGAAGCCCTGGGCTTTCTGAATGAGGACCATTGGTTAGGAAGAAAGAATTCTGGAGGAGGTGTTGAAGGGCTTGGTGTCCAAAAACTTGGTTACATTCTGCGTGAGATGAGTCATCATTCAGGTGGGAGAATGTACGCAGATGACACAGCCGGCTGGGACACCCGGATAACCAGGGCCGATCTTGATAACGAGGCCAAAGTTTTGGAGC</t>
  </si>
  <si>
    <t>GAGAAGAAGCTCGGAGAGTTTGGCAAAGCGAAAGGCAGTCGAGCTATATGGTTCATGTGGCTAGGCGCCAGATTCCTGGAGTTTGAAGCCCTGGGCTTTCTGAATGAGGACCACTGGTTAGGAAGAAAGAATTCTGGAGGAGGTGTTGAAGGGCTTGGTGTCCAAAAACTTGGTTACATTCTGCGTGAGATGAGTCATCATTCAGGTGGGAGAATGTACGCAGATGACACAGCCGGCTGGGACACCCGGATAACCAGGGCCGATCTTGATAACGAGGCCAAAGTTTTGGAGC</t>
  </si>
  <si>
    <t>GAGAAGAAGCTCGGAGAGTTTGGCAAAGCGAAAGGCAGTCGAGCCATATGGTTCATGTGGCTAGGCGCCAGATTCCTGGAGTTTGAAGCCCTGGGCTTTCTGAATGAGGACCATTGGTTAGGAAGAAAGAATTCTGGAGGAGGTGTTGAAGGGCTTGGTGTCCAAAAACTTGGTTACATTCTGCGTGAGATGAGTCATCATTCAGGTGGGAGAATGTACGCAGATGACACAGCCGGCTGGGACACCCGGATAACCAGGGCCGATCTTGATAACGAGGCCAAAGTTTTGGAGC</t>
  </si>
  <si>
    <t>21/08/2018 aprx.</t>
  </si>
  <si>
    <t>02</t>
  </si>
  <si>
    <t>Saint-Quentin</t>
  </si>
  <si>
    <t>49.8465253,3.2876843</t>
  </si>
  <si>
    <t>GAGAAGAAGCTCGGAGAGTTTGGCAAAGCGAAAGGCAGTCGAGCTATATGGTTCATGTGGCTAGGCGCCAGATTCCTGGAGTTTGAAGCCCTGGGCTTTCTGAATGAGGACCATTGGTTAGGAAGAAAGAACTCTGGAGGAGGTGTTGAAGGGCTTGGTGTCCAAAAACTTGGTTACATTCTGCGTGAGATGAGTCACCATTCAGGTGGGAGAATGTACGCAGATGACACAGCCGGCTGGGACACCCGGATAACCAGGGCCGATCTTGATAACGAGGCCAAAGTTTTGGAGC</t>
  </si>
  <si>
    <t>TACAACATGATGGGGAAGCGTGAGAAGAAGCTCGGAGAGTTTGGCAAAGCGAAAGGCAGTCGAGCTATATGGTTCATGTGGCTAGGCGCCAGATTCCTGGAGTTTGAAGCCCTGGGCTTTCTGAATGAGGACCATTGGTTAGGAAGAAAGAATTCTGGAGGAGGTGTTGAAGGGCTTGGTGTCCAAAAACTTGGTTACATTCTGCGTGAGATGAGTCATCATTCAGGTGGGAGAATGTACGCAGATGACACAGCCGGCTGGGACACCCGGATAACCAGGGCCGATCTTGATAACGAGGCCAAAGTTTTGGAGCTGATGGAAGGTGAGCACAGACAACTGGCTAGAGCAATTATTGAGCTGACCTACAAACACAAGGTGGTGAAAGTTATGCGACCTGGCACAGATGGGAAGACCGTCATGGATGTGATTTCCCGAGAAGATCAGAGAGGAAGTGGACAGGTTGTGACCTATGCTCTCAACACATTCACCAACATTGCTGTCCAGCTTATCAGACTGATGGAAGCTGAAGGAGTGATTGGGCAGGAACATCTGGAAAGTCTTCCCCGGAAAACCAAATACGCTGTGAGAACCTGGCTCTTTGAGAACGGAGAAGAAAGGGTGACCCGCATGGCTGTGAGTGGAGATGATTGTGTTGTCAAGCCCCTGGATGATCGGTTTGCCAATGCCCTGCACTTTCTCAATTCGATGTCTAAGGTCAGAAAAGACGTGCCAGAGTGGAAACCCTCCTCGGGATGGCACGATTGGCAGCAAGTGCCTTTCTGCTCAAACCACTTTCAGGAATTGATCATGAAGGACGGAAGGACTTTGGTGGTTCCCTGCCGGGGTCAGGATGAACTCATTGGGAGGGCGCGAGTCTCCCCCGGCTCTGGATGGAATGTTAGGGACACCGCATGCTTGGCCAAGGCCTACGCTCAGATGTGGCTCTTACTGTACTTCCACAGAAGAGATCTGAGGTTGATGGCAAACGCCATCTGCTCAGCAGTCCCCAGCAATTGGGTTCCCACTGGCAGGACTTCATGGTCAGTGCATGCCACAGGTGAATGGATGACAACTGATGACATGTT</t>
  </si>
  <si>
    <t>Saint Maurice de Lignon (Les Aigles de St Maurice de Lignon)</t>
  </si>
  <si>
    <t>45.2230922,4.1375076</t>
  </si>
  <si>
    <t>GAGAAGAAGCTCGGAGAGTTTGGCAAAGCGAAAGGCAGTCGAGCCATATGGTTCATGTGGCTAGGCGCCAGATTCCTGGAGTTTGAAGCCTTGGGCTTTCTGAACGAGGACCATTGGTTAGGAAGAAAGAATTCTGGAGGAGGTGTTGAAGGGCTTGGTGTCCAAAAGCTTGGTTACATTCTGCGGGAAATGAGCCACCACTCAGGTGGGAAAATGTACGCAGATGACACGGCCGGCTGGGACACCCGGATAACCAGAGCTGATCTTGATAACGAGGCCAAAGTTTTGGAGC</t>
  </si>
  <si>
    <t>*Aiton (ONCFS)</t>
  </si>
  <si>
    <t>45.5606,6.25655</t>
  </si>
  <si>
    <t>TCGAGCTATATGGTTCATGTGGCTAGGGGCCAGATTCCTGGAGTTTGAAGCCCTGGGCTTTCTGAATGAGGACCATTGGTTAGGAAAAAAGAATTCTGGAGGAGGTGTTGAAGGGCTTGGTGTCCAAAAACTTGGTTATATTCTGCGTGAGATGAGTCACCATTCAGGTGGGAGAATGTACGCAAATGACACAGCCGGCTGGGACACCCGGATAACCAGGGCCTATCTTGATAACGAGGCCAAAGTTTTGGAGC</t>
  </si>
  <si>
    <t>GAGAAGAAGCTCGGAGAGTTTGGCAAAGCGAAAGGCAGTCGAGCTATATGGTTCATGTGGCTAGGCGCCAGATTCCTGGAGTTTGAAGCCCTGGGCTTTCTGAATGAGGACCATTGGTTAGGAAGAAAGAATTCTGGAGGAGGTGTTGAAGGGCTTGGTGTCCAAAAACTTGGTTACATTCTGCGTGAGATGAGTCATCATTCAGGTGGGAGAATGTACGCAGATGACACAGCCGGCTGGGATACCCGGATAACCAGGGCCGATCTTGATAACGAGGCCAAAGTTTTGGAGC</t>
  </si>
  <si>
    <t>GAGAAGAAGCTCGGAGAGTTTGGCAAAGCGAAAGGCAGTCGAGCTATATGGTTCATGTGGCTAGGCGCCAGATTCCTGGAGTTTGAAGCCCTGGGCTTTCTGAATGAGGACCATTGGTTAGGAAGAAAGAATTCTGGAGGAGGTGTTGAAGGGCTCGGTGTCCAAAAACTTGGTTATATTCTGCGTGAGATGAGTCACCATTCAGGTGGGAGAATGTACGCAGATGACACAGCCGGCTGGGACACCCGGATAACCAGGGCCGATCTTGATAACGAGGCCAAAGTTTTGGAGC</t>
  </si>
  <si>
    <t>TACAACATGATGGGGAAGCGTGAGAAGAAGCTCGGAGAGTTTGGCAAAGCGAAAGGCAGTCGAGCTATATGGTTCATGTGGCTAGGCGCCAGATTCCTGGAGTTTGAAGCCCTGGGCTTTCTGAATGAGGACCATTGGTTAGGAAGAAAGAACTCTGGAGGAGGTGTTGAAGGGCTTGGTGTCCAAAAACTTGGTTACATTCTGCGTGAGATGAGTCACCATTCAGGTGGGAGAATGTACGCAGATGACACAGCCGGCTGGGACACCCGGATAACCAGGGCCGATCTTGATAACGAGGCCAAAGTTTTGGAGCTGATGGAAGGTGAGCACAGACAACTGGCTAGAGCGATCATTGAGCTGACCTACAAACACAAGGTGGTGAAAGTTATGCGACCTGGCACAGATGGGAAGACCGTCATGGATGTGATTTCCCGAGAAGATCAGAGAGGAAGTGGACAGGTTGTGACCTATGCTCTCAACACATTCACCAACATTGCTGTCCAGCTTATCAGACTGATGGAAGCTGAGGGAGTGATTGGGCAGGAACACCTGGAAAGTCTTCCCCGGAAAACCAAATACGCTGTGAGAACCTGGCTCTTTGAGAACGGAGAAGAAAGGGTGACCCGCATGGCTGTGAGTGGAGATGATTGTGTTGTCAAGCCCCTGGATGATCGGTTTGCCAATGCCCTGCACTTTCTCAATTCGATGTCTAAGGTCAGAAAAGACGTGCCAGAGTGGAAACCCTCCTCGGGATGGCACGATTGGCAGCAAGTGCCTTTCTGCTCAAACCACTTTCAGGAATTGATCATGAAGGACGGAAGGACTTTGGTGGTTCCCTGCCGGGGTCAGGATGAACTCATTGGGAGGGCGCGAGTCTCCCCCGGCTCTGGATGGAATGTTAGGGACACCGCATGCTTAGCCAAGGCCTACGCTCAGATGTGGCTCTTGCTGTACTTCCACAGAAGAGATCTGAGGTTGATGGCAAACGCCATCTGCTCAGCAGTCCCCAGCAATTGGGTTCCCACTGGCAGGACTTCATGGTCAGTGCATGCCACAGGTGAATGGATGACAACTGATGACATGTT</t>
  </si>
  <si>
    <t>GAGAAGAAGCTCGGAGAGTTTGGCAAAGCGAAAGGCAGTCGAGCTATATGGTTCATGTGGCTGGGCGCCAGATTCCTGGAGTTTGAAGCCCTGGGCTTTTTGAATGAGGACCATTGGTTAGGAAGAAAGAATTCTGGAGGAGGTGTTGAAGGGCTTGGGGTCCAAAAACTTGGTTACATTTTGCGTGAGATGAGTCATCATTCAGGTGGGAGAATGTACGCAGATGACACAGCCGGCTGGGACACCCGGATAACCAGGGCCGATCTTGATAACGAGGCCAAAGTTTTGGAGC</t>
  </si>
  <si>
    <t>GAGAAGAAGCTCGGAGAGTTTGGCAAAGCGAAAGGCAGTCGAGCTATATGGTTCATGTGGCTAGGCGCCAGATTCCTGGAGTTTGAAGCCCTGGGCTTTCTGAATGAGGACCATTGGTTAGGAAGAAAGAATTCTGGAGGAGGTGTTGAAGGGCTTGGTGTCCAAAAACTTGGTTATATTCTGCGTGAGATGAGCCACCATTCAGGTGGGAGAATGTACGCAGATGACACAGCCGGCTGGGACACCCGGATAACCAGGGCCGATCTTGATAACGAGGCCAAAGTTTTGGAGC</t>
  </si>
  <si>
    <t>GAGAAGAAGCTCGGAGAGTTTGGCAAAGCGAAAGGCAGTCGAGCTATATGGTTCATGTGGCTAGGCGCCAGATTCCTGGAGTTTGAAGCCCTGGGCTTTTTGAATGAGGACCATTGGTTAGGAAGAAAGAATTCTGGAGGAGGTGTTGAAGGGCTTGGTGTCCAAAAACTTGGTTACATTCTGCGTGAGATGAGTCACCATTCAGGTGGGAGAATGTACGCAGATGACACAGCCGGCTGGGACACCCGGATAACCAGGGCCGATCTTGATAACGAGGCCAAAGTTTTGGAGC</t>
  </si>
  <si>
    <t>TACAACATGATGGGGAAGCGTGAGAAGAAGCTCGGAGAGTTTGGCAAAGCGAAAGGCAGTCGAGCTATATGGTTCATGTGGCTAGGCGCCAGATTCCTGGAGTTTGAAGCCCTGGGCTTTCTGAATGAGGACCATTGGTTAGGAAGAAAGAATTCTGGAGGAGGTGTTGAAGGGCTTGGTGTCCAAAAACTTGGTTACATT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AACCAAACACGCTGTGAGAACCTGGCTCTTTGAGAACGGAGAAGAAAGGGTGACCCGCATGGCTGTGAGTGGAGATGATTGTGTTGTTAAGCCCCTGGATGATCGGTTTGCCAATGCCCTGCACTTTCTCAATTCGATGTCTAAGGTCAGAAAAGACGTGCCAGAGTGGAAACCCTCCTCGGGATGGCACGATTGGCAGCAAGTGCCTTTCTGCTCAAACCACTTTCAGGAATTGATCATGAAGGACGGAAGGACTTTGGTGGTTCCCTGCCGGGGTCAGGATGAACTCATTGGGAGGGCGCGAGTCTCCCCCGGCTCTGGATGGAATGTTAGGGACACCGCATGCTTGGCCAAGGCTTACGCTCAGATGTGGCTCTTACTGTACTTCCACAGAAGAGATCTGAGGTTGATGGCAAACGCCATCTGCTCAGCAGTCCCCAGCAATTGGGTTCCCACTGGCAGGACTTCATGGTCAGTGCATGCCACAGGTGAATGGATGACAACTGATGACATGTT</t>
  </si>
  <si>
    <t>&gt;Usutu virus isolate 7338/France/45/2018, NS5 gene, partial cds</t>
  </si>
  <si>
    <t>&gt;Usutu virus isolate 7339/France/45/2018, NS5 gene, partial cds</t>
  </si>
  <si>
    <t>Lamure-sur-Azergues (LVD  69)</t>
  </si>
  <si>
    <t>46.0615827,4.4932835</t>
  </si>
  <si>
    <t>TACAACATGATGGGGAAGCGTGAGAAGAAGCTCGGAGAGTTTGGCAAAGCGAAAGGCAGTCGAGCTATATGGTTCATGTGGCTAGGCGCCAGATTCCTGGAGTTTGAAGCCCTGGGCTTTCTGAATGAGGACCATTGGTTAGGAAGAAAGAATTCTGGAGGAGGTGTTGAAGGGCTTGGTGTCCAAAAACTTGGTTACATTCTGCGTGAGATGAGTCACCATTCAGGTGGGAGAATGTACGCAGATGACACAGCCGGCTGGGACACCCGGATAACCAGGGCCGATCTTGATAACGAGGCCAAAGTTTTGGAGCTGATGGAAGGTGAGCACAGACAACTGGCTAGAGCAATCATTGAGCTGACCTACAAACACAAGGTGGTGAAAGTTATGCGACCTGGCACAGATGGGAAGACCGTCATGGATGTAATTTCCCGAGAAGATCAGAGAGGAAGTGGACAGGTTGTGACCTATGCTCTCAACACATTCACCAACATTGCTGTCCAGCTTATCAGACTGATGGAAGCTGAAGGAGTGATTGGGCAGGAACATCTGGAAAGTCTTCCCCGGAAAACCAAATACGCTGTGAGAACCTGGCTCTTTGAGAACGGAGAAGAAAGGGTGACCCGCATGGCTGTGAGTGGAGATGATTGTGTTGTCAAGCCCCTGGATGATCGGTTTGCCAATGCCCTGTACTTTCTCAATTCGATGTCTAAGGTCAGAAAAGACGTGCCAGAGTGGAAACCCTCCTCGGGATGGCACGATTGGCAGCAAGTGCCTTTCTGCTCAAACCACTTTCAGGAATTGATCATGAAGGACGGAAGGACTTTGGTGGTTCCCTGCCGGGGTCAGGATGAACTCATTGGGAGGGCGCGAGTCTCCCCCGGCTCTGGATGGAATGTTAGGGACACCGCATGCTTGGCCAAGGCCTACGCTCAGATGTGGCTCTTACTGTACTTCCACAGAAGAGATCTGAGGTTGATGGCAAACGCCATCTGCTCAGCAGTCCCCAGCAATTGGGTTCCCACTGGCAGGACTTCATGGTCAGTGCATGCCACAGGTGAATGGATGACAACTGATGACATGTT</t>
  </si>
  <si>
    <t>GAGAAGAAGCTCGGAGAGTTTGGTAAAGCGAAAGGCAGTCGAGCTATATGGTTCATGTGGCTAGGCGCCAGATTCCTGGAGTTTGAAGCCCTGGGCTTTCTGAATGAGGACCATTGGTTAGGAAGAAAGAATTCTGGAGGAGGTGTTGAAGGGCTTGGTGTCCAAAAACTTGGTTATATTCTGCGTGAGATGAGTCACCATTCAGGTGGGAGAATGTACGCAGATGACACAGCCGGCTGGGACACCCGGATAACCAGGGCCGATCTTGATAACGAGGCCAAAGTTTTGGAGC</t>
  </si>
  <si>
    <t>GAGAAGAAGCTCGGAGAGTTTGGCAAAGCGAAAGGTAGTCGAGCCATATGGTTCATGTGGCTAGGCGCCAGATTCCTGGAGTTTGAAGCCCTGGGCTTTCTGAATGAGGACCATTGGTTAGGAAGAAAGAATTCTGGAGGAGGTGTTGAAGGACTTGGTGTCCAAAAACTTGGCTACATTCTGCGTGAGATGAGCCACCACCCAGGTGGGAAAATGTACGCGGATGATACAGCCGGCTGGGACACCCGGATAACCAGAGCCGATCT</t>
  </si>
  <si>
    <t>GAGAAGAAGCTCGGAGAGTTTGGCAAAGCGAAAGGCAGTCGAGCTATATGGTTCATGTGGCTAGGCGCCAGATTCCTGGAGTTTGAAGCCCTGGGCTTTCTGAATGAGGACCACTGGTTAGGAAGAAAGAATTCTGGAGGAGGTGTTGAAGGGCTTGGTGTCCAAAAACTTGGTTACATTCTGCGTGAGATGAGTCACCATTCAGGTGGGAGAATGTACGCAGATGACACAGCCGGCTGGGACACCCGGATAACCAGGGCCGATCTTGATAACGAGGCCAAAGTTTTGGAGC</t>
  </si>
  <si>
    <t>Zellenberg (L2A COLMAR)</t>
  </si>
  <si>
    <t>48.1698688,7.3200656</t>
  </si>
  <si>
    <t>TACAACATGATGGGGAAGCGTGAGAAGAAGCTCGGAGAGTTTGGCAAAGCGAAAGGTAGTCGAGCCATATGGTTCATGTGGCTAGGCGCCAGATTCCTGGAGTTTGAAGCCCTGGGCTTTCTGAATGAGGACCATTGGTTAGGAAGAAAGAATTCTGGAGGAGGTGTTGAAGGACTTGGTGTCCAAAAACTTGGCTACATTCTGCGTGAGATGAGCCACCACCCAGGTGGGAAAATGTACGCGGATGATACAGCCGGCTGGGACACCCGGATAACCAGAGCCGATCTTGACAACGAGGCCAAAGTTTTGGAGCTGATGGAAGGTGAGCACAGACAACTAGCCAGAGCAATCATTGAGCTGACCTACAAACACAAGGTGGTGAAAGTTATGCGACCTGGCACAGATGGGAAGACCGTCATGGATGTGATTTCCCGAGAAGATCAGAGAGGAAGTGGACAGGTTGTGACCTATGCTCTCAACACATTCACCAACATTGCCGTCCAGCTCATTAGACTGATGGAAGCTGAAGGAGTGATTGGGCAGGAACATCTGGAAAGTCTTCCCCGGAAAACCAAATACGCTGTGAGAACCTGGCTCTTTGAGAACGGAGAAGAAAGGGTGACCCGTATGGCTGTGAGTGGAGATGATTGTGTTGTCAAGCCCCTGGATGATCGGTTTGCCAATGCCCTGCACTTTCTCAATTCGATGTCCAAGGTCAGAAAAGACGTGCCAGAGTGGAAACCCTCCTCGGGATGGCACGATTGGCAGCAGGTGCCTTTCTGCTCAAACCACTTTCAGGAATTGATCATGAAGGACGGAAGGACTTTGGTGGTTCCCTGCCGGGGTCAGGATGAACTCATTGGGAGGGCGCGAGTCTCCCCCGGCTCTGGATGGAATGTCAGGGACACCGCATGCTTGGCCAAGGCCTACGCTCAGATGTGGCTCCTGCTGTACTTCCACAGAAGAGATCTGAGGCTGATGGCAAACGCCATCTGTTCAGCAGTCCCCAGCAATTGGGTTCCCACTGGCAGGACTTCATGGTCAGTGCATGCCACAGGTGAATGGATGACAACTGATGACATGTT</t>
  </si>
  <si>
    <t>Saint Jean d'Angély (FDC 17)</t>
  </si>
  <si>
    <t>45.9445958,-0.5195756</t>
  </si>
  <si>
    <t>TACAACATGATGGGGAAGCGTGAGAAGAAGCTCGGAGAGTTTGGCAAAGCGAAAGGCAGTCGAGCTATATGGTTCATGTGGCTAGGCGCCAGATTCCTGGAGTTTGAAGCCCTGGGCTTTCTGAATGAGGACCATTGGTTAGGAAGAAAGAATTCTGGAGGAGGTGTTGAAGGGCTTGGTGTCCAAAAACTTGGTTACATTCTGCGTGAGATGAGTCACCATTCAGGTGGGAGAATGTACGCAGATGACACAGCCGGCTGGGACACCCGGATAACCAGGGCCGATCTTGATAACGAGGCCAAAGTTTTGGAGCTGATGGAAGGTGAGCACAGACAACTGGCTAGAGCGATCATTGAGCTGACCTACAAACACAAGGTGGTGAAAGTTATGCGACCTGGCACAGATGGGAAGACCGTCATGGATGTGATTTCCCGAGAAGATCAGAGAGGAAGTGGACAGGTTGTGACCTATGCTCTCAACACATTCACCAACATTGCTGTCCAGCTTATCAGACTGATGGAAGCTGAGGGAGTGATTGGGCAGGAACATCTGGAAAGTCTTCCCCGGAAAACCAAATACGCTGTGAGAACCTGGCTCTTTGAGAACGGAGAAGAAAGGGTGACCCGCATGGCTGTGAGTGGAGATGATTGTGTTGTCAAGCCCCTGGATGATCGGTTTGCCAATGCCCTGCACTTTCTCAATTCGATGTCTAAGGTTAGAAAAGACGTGCCAGAGTGGAAACCCTCCTCGGGATGGCACGATTGGCAGCAAGTGCCTTTCTGCTCAAACCACTTTCAGGAATTGATCATGAAGGACGGAAGGACTTTGGTGGTTCCCTGCCGGGGTCAGGATGAACTCATTGGGAGGGCGCGAGTCTCCCCCGGCTCTGGATGGAATGTTAGGGACACCGCATGCTTGGCCAAGGCCTACGCTCAGATGTGGCTCTTGCTGTACTTCCACAGAAGAGATCTGAGGTTGATGGCAAACGCCATCTGCTCAGCAGTCCCCAGCAATTGGGTTCCCACTGGCAGGACTTCATGGTCAGTGCATGCCACAGGTGAATGGATGACAACTGATGACATGTT</t>
  </si>
  <si>
    <t>Rehaincourt (LDVA 88)</t>
  </si>
  <si>
    <t>48.362716,6.46954</t>
  </si>
  <si>
    <t>TACAACATGATGGGGAAGCGTGAGAAGAAGCTCGGAGAGTTTGGCAAAGCGAAAGGCAGTCGAGCTATATGGTTCATGTGGCTAGGCGCCAGATTCCTGGAGTTTGAAGCCCTGGGCTTTCTGAATGAGGACCATTGGTTAGGAAGAAAGAATTCTGGAGGAGGTGTTGAAGGGCTTGGTGTCCAAAAACTTGGTTACATTCTGCGTGAGATGAGTCACCATTCAGGTGGGAGAATGTACGCAGATGACACAGCCGGCTGGGACACCCGGATAACCAGGGCCGATCTTGATAACGAGGCCAAAGTTTTGGAGCTGATGGAAGGTGAGCACAGACAACTGGCTAGAGCAATCATTGAGCTGACCTACAAACACAAGGTGGTGAAAGTTATGCGACCTGGCACAGATGGGAAGACCGTCATGGATGTAATTTCCCGAGAAGATCAGAGAGGAAGTGGACAGGTTGTGACCTATGCTCTCAACACATTCACCAACATTGCTGTCCAGCTTATCAGACTGATGGAAGCTGAAGGAGTGATTGGGCAGGAACATCTGGAAAGTCTTCCCCGGAAAACCAAATACGCTGTGAGAACCTGGCTCTTTGAGAACGGAGAAGAAAGGGTGACCCGCATGGCTGTGAGTGGAGATGATTGTGTTGTCAAGCCCCTGGATGATCGGTTTGCCAATGCCCTGCACTTTCTCAATTCGATGTCTAAGGTCAGAAAAGACGTGCCAGAGTGGAAACCCTCCTCGGGATGGCACGATTGGCAGCAAGTGCCTTTCTGCTCAAACCACTTTCAGGAATTGATCATGAAGGACGGAAGGACTTTGGTGGTTCCCTGCCGGGGTCAGGATGAACTCATTGGGAGGGCGCGAGTCTCCCCCGGCTCTGGATGGAATGTTAGGGACACCGCATGCTTGGCCAAGGCCTACGCTCAGATGTGGCTCTTACTGTACTTCCACAGAAGAGATCTGAGGTTGATGGCAAACGCCATCTGCTCAGCAGTCCCCAGCAATTGGGTTCCCACTGGCAGGACTTCATGGTCAGTGCATGCCACAGGTGAATGGATGACAACTGATGACATGTT</t>
  </si>
  <si>
    <t>7991/France/68/2016</t>
  </si>
  <si>
    <t>7994/France/68/2016</t>
  </si>
  <si>
    <t>8640/France/69/2016</t>
  </si>
  <si>
    <t>8645/France/69/2016</t>
  </si>
  <si>
    <t>8760/France/42/2016</t>
  </si>
  <si>
    <t>8784/France/87/2016</t>
  </si>
  <si>
    <t>9615/France/69/2016</t>
  </si>
  <si>
    <t>9617/France/69/2016</t>
  </si>
  <si>
    <t>10211/France/68/2016</t>
  </si>
  <si>
    <t>10212/France/68/2016</t>
  </si>
  <si>
    <t>10270/France/87/2016</t>
  </si>
  <si>
    <t>6736/France/68/2017</t>
  </si>
  <si>
    <t>7285/France/41/2017</t>
  </si>
  <si>
    <t>7391/France/73/2017</t>
  </si>
  <si>
    <t>7641/France/38/2017</t>
  </si>
  <si>
    <t>9784/France/07/2017</t>
  </si>
  <si>
    <t>4752/France/75/2018</t>
  </si>
  <si>
    <t>4817/France/36/2018</t>
  </si>
  <si>
    <t>4838/France/41/2018</t>
  </si>
  <si>
    <t>5102/France/86/2018</t>
  </si>
  <si>
    <t>5114/France/44/2018</t>
  </si>
  <si>
    <t>5278/France/53/2018</t>
  </si>
  <si>
    <t>5279/France/53/2018</t>
  </si>
  <si>
    <t>5326/France/79/2018</t>
  </si>
  <si>
    <t>5356/France/75/2018</t>
  </si>
  <si>
    <t>5425/France/03/2018</t>
  </si>
  <si>
    <t>5442/France/57/2018</t>
  </si>
  <si>
    <t>5450/France/18/2018</t>
  </si>
  <si>
    <t>5453/France/87/2018</t>
  </si>
  <si>
    <t>5490/France/57/2018</t>
  </si>
  <si>
    <t>5525/France/36/2018</t>
  </si>
  <si>
    <t>5533/France/27/2018</t>
  </si>
  <si>
    <t>5612/France/36/2018</t>
  </si>
  <si>
    <t>5615/France/86/2018</t>
  </si>
  <si>
    <t>5693/France/41/2018</t>
  </si>
  <si>
    <t>5695/France/41/2018</t>
  </si>
  <si>
    <t>5700/France/41/2018</t>
  </si>
  <si>
    <t>5701/France/89/2018</t>
  </si>
  <si>
    <t>5917/France/67/2018</t>
  </si>
  <si>
    <t>5925/France/33/2018</t>
  </si>
  <si>
    <t>5930/France/33/2018</t>
  </si>
  <si>
    <t>5932/France/30/2018</t>
  </si>
  <si>
    <t>5940/France/18/2018</t>
  </si>
  <si>
    <t>5943/France/18/2018</t>
  </si>
  <si>
    <t>5957/France/36/2018</t>
  </si>
  <si>
    <t>5997/France/02/2018</t>
  </si>
  <si>
    <t>6000/France/54/2018</t>
  </si>
  <si>
    <t>6001/France/54/2018</t>
  </si>
  <si>
    <t>6005/France/43/2018</t>
  </si>
  <si>
    <t>6006/France/73/2018</t>
  </si>
  <si>
    <t>6012/France/72/2018</t>
  </si>
  <si>
    <t>6041/France/56/2018</t>
  </si>
  <si>
    <t>6042/France/56/2018</t>
  </si>
  <si>
    <t>6043/France/56/2018</t>
  </si>
  <si>
    <t>6044/France/56/2018</t>
  </si>
  <si>
    <t>6045/France/56/2018</t>
  </si>
  <si>
    <t>6046/France/37/2018</t>
  </si>
  <si>
    <t>6124/France/45/2018</t>
  </si>
  <si>
    <t>6159/France/62/2018</t>
  </si>
  <si>
    <t>6236/France/71/2018</t>
  </si>
  <si>
    <t>6510/France/22/2018</t>
  </si>
  <si>
    <t>6567/France/03/2018</t>
  </si>
  <si>
    <t>6568/France/78/2018</t>
  </si>
  <si>
    <t>6569/France/78/2018</t>
  </si>
  <si>
    <t>6575/France/27/2018</t>
  </si>
  <si>
    <t>6576/France/27/2018</t>
  </si>
  <si>
    <t>6577/France/48/2018</t>
  </si>
  <si>
    <t>6677/France/57/2018</t>
  </si>
  <si>
    <t>6687/France/43/2018</t>
  </si>
  <si>
    <t>6732/France/43/2018</t>
  </si>
  <si>
    <t>6737/France/81/2018</t>
  </si>
  <si>
    <t>6797/France/26/2018</t>
  </si>
  <si>
    <t>6804/France/30/2018</t>
  </si>
  <si>
    <t>6806/France/30/2018</t>
  </si>
  <si>
    <t>6831/France/36/2018</t>
  </si>
  <si>
    <t>6894/France/77/2018</t>
  </si>
  <si>
    <t>6895/France/77/2018</t>
  </si>
  <si>
    <t>7323/France/88/2018</t>
  </si>
  <si>
    <t>7378/France/78/2018</t>
  </si>
  <si>
    <t>7380/France/91/2018</t>
  </si>
  <si>
    <t>7338/France/45/2018</t>
  </si>
  <si>
    <t>7339/France/45/2018</t>
  </si>
  <si>
    <t>6504/France/69/2018</t>
  </si>
  <si>
    <t>6698/France/51/2020</t>
  </si>
  <si>
    <t>6699/France/89/2020</t>
  </si>
  <si>
    <t>6802/France/38/2020</t>
  </si>
  <si>
    <t>10488/France/89/2021</t>
  </si>
  <si>
    <t>10492/France/67/2021</t>
  </si>
  <si>
    <t>1434/France/38/2021</t>
  </si>
  <si>
    <t>8084/France/68/2023</t>
  </si>
  <si>
    <t>8533/France/17/2023</t>
  </si>
  <si>
    <t>7678/France/88/2024</t>
  </si>
  <si>
    <t>Sample</t>
  </si>
  <si>
    <t>collection.date.formatted</t>
  </si>
  <si>
    <t>iso.subdivision.name</t>
  </si>
  <si>
    <t>seq</t>
  </si>
  <si>
    <t>pubmed.id_2</t>
  </si>
  <si>
    <t>pubmed.id_3</t>
  </si>
  <si>
    <t>pubmed.id_4</t>
  </si>
  <si>
    <t>pubmed.id_5</t>
  </si>
  <si>
    <t>pubmed.id_6</t>
  </si>
  <si>
    <t>citation_2</t>
  </si>
  <si>
    <t>citation_3</t>
  </si>
  <si>
    <t>citation_4</t>
  </si>
  <si>
    <t>citation_5</t>
  </si>
  <si>
    <t>citation_6</t>
  </si>
  <si>
    <t>notes</t>
  </si>
  <si>
    <t>genbank.createdate</t>
  </si>
  <si>
    <t>is.europe</t>
  </si>
  <si>
    <t>segment</t>
  </si>
  <si>
    <t>flags</t>
  </si>
  <si>
    <t>viscivorus</t>
  </si>
  <si>
    <t>Illumina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</si>
</sst>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6"/>
      <name val="Arial Narrow"/>
      <family val="2"/>
    </font>
    <font>
      <sz val="16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/>
    </xf>
    <xf numFmtId="14" fontId="1" fillId="0" borderId="0" xfId="0" applyNumberFormat="1" applyFont="1" applyFill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8"/>
  <sheetViews>
    <sheetView tabSelected="1" zoomScale="40" zoomScaleNormal="40" workbookViewId="0">
      <selection activeCell="D36" sqref="D36"/>
    </sheetView>
  </sheetViews>
  <sheetFormatPr baseColWidth="10" defaultRowHeight="20.25" x14ac:dyDescent="0.3"/>
  <cols>
    <col min="1" max="1" width="22.42578125" style="13" customWidth="1"/>
    <col min="2" max="2" width="24.28515625" style="5" customWidth="1"/>
    <col min="3" max="3" width="56.140625" style="5" customWidth="1"/>
    <col min="4" max="4" width="32.28515625" style="5" bestFit="1" customWidth="1"/>
    <col min="5" max="5" width="19.7109375" style="5" bestFit="1" customWidth="1"/>
    <col min="6" max="6" width="21" style="5" customWidth="1"/>
    <col min="7" max="7" width="25.7109375" style="5" customWidth="1"/>
    <col min="8" max="8" width="18.140625" style="6" customWidth="1"/>
    <col min="9" max="9" width="34.85546875" style="5" customWidth="1"/>
    <col min="10" max="10" width="44.85546875" style="6" bestFit="1" customWidth="1"/>
    <col min="11" max="11" width="15" style="5" customWidth="1"/>
    <col min="12" max="12" width="13.85546875" style="5" bestFit="1" customWidth="1"/>
    <col min="13" max="13" width="27.5703125" style="5" customWidth="1"/>
    <col min="14" max="14" width="25.7109375" style="13" customWidth="1"/>
    <col min="15" max="15" width="17" style="13" bestFit="1" customWidth="1"/>
    <col min="16" max="16" width="21.140625" style="13" bestFit="1" customWidth="1"/>
    <col min="17" max="17" width="24" style="13" customWidth="1"/>
    <col min="18" max="18" width="16.28515625" style="5" bestFit="1" customWidth="1"/>
    <col min="19" max="19" width="47.5703125" style="5" customWidth="1"/>
    <col min="20" max="20" width="99.5703125" style="5" customWidth="1"/>
    <col min="21" max="21" width="17.7109375" style="5" customWidth="1"/>
    <col min="22" max="22" width="21.85546875" style="5" customWidth="1"/>
    <col min="23" max="23" width="32.7109375" style="5" customWidth="1"/>
    <col min="24" max="16384" width="11.42578125" style="5"/>
  </cols>
  <sheetData>
    <row r="1" spans="1:38" x14ac:dyDescent="0.3">
      <c r="A1" s="2" t="s">
        <v>389</v>
      </c>
      <c r="B1" s="2" t="s">
        <v>0</v>
      </c>
      <c r="C1" s="2" t="s">
        <v>1</v>
      </c>
      <c r="D1" s="8" t="s">
        <v>390</v>
      </c>
      <c r="E1" s="2" t="s">
        <v>2</v>
      </c>
      <c r="F1" s="9" t="s">
        <v>3</v>
      </c>
      <c r="G1" s="9" t="s">
        <v>4</v>
      </c>
      <c r="H1" s="3" t="s">
        <v>5</v>
      </c>
      <c r="I1" s="3" t="s">
        <v>391</v>
      </c>
      <c r="J1" s="2" t="s">
        <v>6</v>
      </c>
      <c r="K1" s="2" t="s">
        <v>7</v>
      </c>
      <c r="L1" s="2" t="s">
        <v>8</v>
      </c>
      <c r="M1" s="2" t="s">
        <v>9</v>
      </c>
      <c r="N1" s="9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3" t="s">
        <v>15</v>
      </c>
      <c r="T1" s="3" t="s">
        <v>16</v>
      </c>
      <c r="U1" s="3" t="s">
        <v>17</v>
      </c>
      <c r="V1" s="5" t="s">
        <v>18</v>
      </c>
      <c r="W1" s="5" t="s">
        <v>392</v>
      </c>
      <c r="X1" s="5" t="s">
        <v>393</v>
      </c>
      <c r="Y1" s="5" t="s">
        <v>394</v>
      </c>
      <c r="Z1" s="5" t="s">
        <v>395</v>
      </c>
      <c r="AA1" s="5" t="s">
        <v>396</v>
      </c>
      <c r="AB1" s="5" t="s">
        <v>397</v>
      </c>
      <c r="AC1" s="5" t="s">
        <v>398</v>
      </c>
      <c r="AD1" s="5" t="s">
        <v>399</v>
      </c>
      <c r="AE1" s="5" t="s">
        <v>400</v>
      </c>
      <c r="AF1" s="5" t="s">
        <v>401</v>
      </c>
      <c r="AG1" s="5" t="s">
        <v>402</v>
      </c>
      <c r="AH1" s="5" t="s">
        <v>403</v>
      </c>
      <c r="AI1" s="5" t="s">
        <v>404</v>
      </c>
      <c r="AJ1" s="5" t="s">
        <v>405</v>
      </c>
      <c r="AK1" s="5" t="s">
        <v>406</v>
      </c>
      <c r="AL1" s="5" t="s">
        <v>407</v>
      </c>
    </row>
    <row r="2" spans="1:38" x14ac:dyDescent="0.3">
      <c r="A2" s="2" t="s">
        <v>203</v>
      </c>
      <c r="B2" s="2" t="s">
        <v>205</v>
      </c>
      <c r="C2" s="10" t="s">
        <v>204</v>
      </c>
      <c r="D2" s="8">
        <v>42270</v>
      </c>
      <c r="E2" s="1">
        <v>2015</v>
      </c>
      <c r="F2" s="9" t="s">
        <v>20</v>
      </c>
      <c r="G2" s="9" t="s">
        <v>21</v>
      </c>
      <c r="H2" s="1">
        <v>69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9" t="s">
        <v>27</v>
      </c>
      <c r="O2" s="1" t="s">
        <v>28</v>
      </c>
      <c r="P2" s="1" t="s">
        <v>29</v>
      </c>
      <c r="Q2" s="1">
        <v>1085</v>
      </c>
      <c r="R2" s="1" t="s">
        <v>30</v>
      </c>
      <c r="S2" s="1" t="s">
        <v>68</v>
      </c>
      <c r="T2" s="1" t="s">
        <v>206</v>
      </c>
      <c r="U2" s="1" t="s">
        <v>205</v>
      </c>
      <c r="V2" s="5" t="s">
        <v>32</v>
      </c>
      <c r="W2" s="5" t="s">
        <v>207</v>
      </c>
    </row>
    <row r="3" spans="1:38" x14ac:dyDescent="0.3">
      <c r="A3" s="2">
        <v>7315</v>
      </c>
      <c r="B3" s="2" t="s">
        <v>209</v>
      </c>
      <c r="C3" s="10" t="s">
        <v>208</v>
      </c>
      <c r="D3" s="8">
        <v>42226</v>
      </c>
      <c r="E3" s="1">
        <v>2015</v>
      </c>
      <c r="F3" s="9" t="s">
        <v>20</v>
      </c>
      <c r="G3" s="9" t="s">
        <v>21</v>
      </c>
      <c r="H3" s="1">
        <v>68</v>
      </c>
      <c r="I3" s="1" t="s">
        <v>33</v>
      </c>
      <c r="J3" s="1" t="s">
        <v>34</v>
      </c>
      <c r="K3" s="1" t="s">
        <v>35</v>
      </c>
      <c r="L3" s="1" t="s">
        <v>25</v>
      </c>
      <c r="M3" s="1" t="s">
        <v>26</v>
      </c>
      <c r="N3" s="9" t="s">
        <v>27</v>
      </c>
      <c r="O3" s="1" t="s">
        <v>28</v>
      </c>
      <c r="P3" s="1" t="s">
        <v>29</v>
      </c>
      <c r="Q3" s="1">
        <v>1085</v>
      </c>
      <c r="R3" s="1" t="s">
        <v>30</v>
      </c>
      <c r="S3" s="1" t="s">
        <v>68</v>
      </c>
      <c r="T3" s="1" t="s">
        <v>210</v>
      </c>
      <c r="U3" s="1" t="s">
        <v>209</v>
      </c>
      <c r="V3" s="5" t="s">
        <v>32</v>
      </c>
      <c r="W3" s="5" t="s">
        <v>211</v>
      </c>
    </row>
    <row r="4" spans="1:38" x14ac:dyDescent="0.3">
      <c r="A4" s="2">
        <v>7316</v>
      </c>
      <c r="B4" s="2" t="s">
        <v>213</v>
      </c>
      <c r="C4" s="10" t="s">
        <v>212</v>
      </c>
      <c r="D4" s="8">
        <v>42226</v>
      </c>
      <c r="E4" s="1">
        <v>2015</v>
      </c>
      <c r="F4" s="9" t="s">
        <v>20</v>
      </c>
      <c r="G4" s="9" t="s">
        <v>21</v>
      </c>
      <c r="H4" s="1">
        <v>68</v>
      </c>
      <c r="I4" s="1" t="s">
        <v>33</v>
      </c>
      <c r="J4" s="1" t="s">
        <v>34</v>
      </c>
      <c r="K4" s="1" t="s">
        <v>35</v>
      </c>
      <c r="L4" s="1" t="s">
        <v>25</v>
      </c>
      <c r="M4" s="1" t="s">
        <v>26</v>
      </c>
      <c r="N4" s="9" t="s">
        <v>27</v>
      </c>
      <c r="O4" s="1" t="s">
        <v>28</v>
      </c>
      <c r="P4" s="1" t="s">
        <v>29</v>
      </c>
      <c r="Q4" s="1">
        <v>1085</v>
      </c>
      <c r="R4" s="1" t="s">
        <v>30</v>
      </c>
      <c r="S4" s="1" t="s">
        <v>68</v>
      </c>
      <c r="T4" s="1" t="s">
        <v>214</v>
      </c>
      <c r="U4" s="1" t="s">
        <v>213</v>
      </c>
      <c r="V4" s="5" t="s">
        <v>32</v>
      </c>
      <c r="W4" s="5" t="s">
        <v>215</v>
      </c>
    </row>
    <row r="5" spans="1:38" x14ac:dyDescent="0.3">
      <c r="A5" s="2">
        <v>7991</v>
      </c>
      <c r="B5" s="2" t="s">
        <v>19</v>
      </c>
      <c r="C5" s="10" t="s">
        <v>297</v>
      </c>
      <c r="D5" s="8">
        <v>42597</v>
      </c>
      <c r="E5" s="1">
        <v>2016</v>
      </c>
      <c r="F5" s="9" t="s">
        <v>20</v>
      </c>
      <c r="G5" s="9" t="s">
        <v>21</v>
      </c>
      <c r="H5" s="1">
        <v>68</v>
      </c>
      <c r="I5" s="1" t="s">
        <v>33</v>
      </c>
      <c r="J5" s="1" t="s">
        <v>34</v>
      </c>
      <c r="K5" s="1" t="s">
        <v>35</v>
      </c>
      <c r="L5" s="1" t="s">
        <v>25</v>
      </c>
      <c r="M5" s="1" t="s">
        <v>26</v>
      </c>
      <c r="N5" s="9" t="s">
        <v>27</v>
      </c>
      <c r="O5" s="1" t="s">
        <v>28</v>
      </c>
      <c r="P5" s="1" t="s">
        <v>29</v>
      </c>
      <c r="Q5" s="1">
        <v>880</v>
      </c>
      <c r="R5" s="1" t="s">
        <v>30</v>
      </c>
      <c r="S5" s="1" t="s">
        <v>31</v>
      </c>
      <c r="T5" s="1" t="str">
        <f>CONCATENATE("&gt;Usutu virus isolate ",K5,", NS5 gene, partial cds")</f>
        <v>&gt;Usutu virus isolate Europe 3, NS5 gene, partial cds</v>
      </c>
      <c r="U5" s="1" t="s">
        <v>19</v>
      </c>
      <c r="V5" s="5" t="s">
        <v>32</v>
      </c>
      <c r="W5" s="5" t="s">
        <v>216</v>
      </c>
    </row>
    <row r="6" spans="1:38" x14ac:dyDescent="0.3">
      <c r="A6" s="2">
        <v>7994</v>
      </c>
      <c r="B6" s="2" t="s">
        <v>19</v>
      </c>
      <c r="C6" s="10" t="s">
        <v>298</v>
      </c>
      <c r="D6" s="8">
        <v>42597</v>
      </c>
      <c r="E6" s="1">
        <v>2016</v>
      </c>
      <c r="F6" s="9" t="s">
        <v>20</v>
      </c>
      <c r="G6" s="9" t="s">
        <v>21</v>
      </c>
      <c r="H6" s="1">
        <v>68</v>
      </c>
      <c r="I6" s="1" t="s">
        <v>33</v>
      </c>
      <c r="J6" s="1" t="s">
        <v>34</v>
      </c>
      <c r="K6" s="1" t="s">
        <v>35</v>
      </c>
      <c r="L6" s="1" t="s">
        <v>25</v>
      </c>
      <c r="M6" s="1" t="s">
        <v>26</v>
      </c>
      <c r="N6" s="9" t="s">
        <v>27</v>
      </c>
      <c r="O6" s="1" t="s">
        <v>28</v>
      </c>
      <c r="P6" s="1" t="s">
        <v>29</v>
      </c>
      <c r="Q6" s="1">
        <v>880</v>
      </c>
      <c r="R6" s="1" t="s">
        <v>30</v>
      </c>
      <c r="S6" s="1" t="s">
        <v>31</v>
      </c>
      <c r="T6" s="1" t="str">
        <f>CONCATENATE("&gt;Usutu virus isolate ",K6,", NS5 gene, partial cds")</f>
        <v>&gt;Usutu virus isolate Europe 3, NS5 gene, partial cds</v>
      </c>
      <c r="U6" s="1" t="s">
        <v>19</v>
      </c>
      <c r="V6" s="5" t="s">
        <v>32</v>
      </c>
      <c r="W6" s="5" t="s">
        <v>216</v>
      </c>
    </row>
    <row r="7" spans="1:38" x14ac:dyDescent="0.3">
      <c r="A7" s="2">
        <v>8640</v>
      </c>
      <c r="B7" s="2" t="s">
        <v>19</v>
      </c>
      <c r="C7" s="10" t="s">
        <v>299</v>
      </c>
      <c r="D7" s="8">
        <v>42598</v>
      </c>
      <c r="E7" s="1">
        <v>2016</v>
      </c>
      <c r="F7" s="9" t="s">
        <v>20</v>
      </c>
      <c r="G7" s="9" t="s">
        <v>21</v>
      </c>
      <c r="H7" s="1">
        <v>69</v>
      </c>
      <c r="I7" s="1" t="s">
        <v>36</v>
      </c>
      <c r="J7" s="1" t="s">
        <v>37</v>
      </c>
      <c r="K7" s="1" t="s">
        <v>24</v>
      </c>
      <c r="L7" s="1" t="s">
        <v>25</v>
      </c>
      <c r="M7" s="1" t="s">
        <v>26</v>
      </c>
      <c r="N7" s="9" t="s">
        <v>27</v>
      </c>
      <c r="O7" s="1" t="s">
        <v>28</v>
      </c>
      <c r="P7" s="1" t="s">
        <v>29</v>
      </c>
      <c r="Q7" s="1">
        <v>880</v>
      </c>
      <c r="R7" s="1" t="s">
        <v>30</v>
      </c>
      <c r="S7" s="1" t="s">
        <v>31</v>
      </c>
      <c r="T7" s="1" t="str">
        <f>CONCATENATE("&gt;Usutu virus isolate ",K7,", NS5 gene, partial cds")</f>
        <v>&gt;Usutu virus isolate Africa 2, NS5 gene, partial cds</v>
      </c>
      <c r="U7" s="1" t="s">
        <v>19</v>
      </c>
      <c r="V7" s="5" t="s">
        <v>32</v>
      </c>
      <c r="W7" s="5" t="s">
        <v>217</v>
      </c>
    </row>
    <row r="8" spans="1:38" x14ac:dyDescent="0.3">
      <c r="A8" s="2">
        <v>8645</v>
      </c>
      <c r="B8" s="2" t="s">
        <v>19</v>
      </c>
      <c r="C8" s="10" t="s">
        <v>300</v>
      </c>
      <c r="D8" s="8" t="s">
        <v>186</v>
      </c>
      <c r="E8" s="1">
        <v>2016</v>
      </c>
      <c r="F8" s="9" t="s">
        <v>20</v>
      </c>
      <c r="G8" s="9" t="s">
        <v>21</v>
      </c>
      <c r="H8" s="1">
        <v>69</v>
      </c>
      <c r="I8" s="1" t="s">
        <v>187</v>
      </c>
      <c r="J8" s="1" t="s">
        <v>188</v>
      </c>
      <c r="K8" s="1" t="s">
        <v>24</v>
      </c>
      <c r="L8" s="1" t="s">
        <v>25</v>
      </c>
      <c r="M8" s="1" t="s">
        <v>26</v>
      </c>
      <c r="N8" s="9" t="s">
        <v>27</v>
      </c>
      <c r="O8" s="1" t="s">
        <v>28</v>
      </c>
      <c r="P8" s="1" t="s">
        <v>29</v>
      </c>
      <c r="Q8" s="1">
        <v>880</v>
      </c>
      <c r="R8" s="1" t="s">
        <v>30</v>
      </c>
      <c r="S8" s="1" t="s">
        <v>31</v>
      </c>
      <c r="T8" s="1" t="str">
        <f>CONCATENATE("&gt;Usutu virus isolate ",K8,", NS5 gene, partial cds")</f>
        <v>&gt;Usutu virus isolate Africa 2, NS5 gene, partial cds</v>
      </c>
      <c r="U8" s="1" t="s">
        <v>19</v>
      </c>
      <c r="V8" s="5" t="s">
        <v>32</v>
      </c>
      <c r="W8" s="5" t="s">
        <v>218</v>
      </c>
    </row>
    <row r="9" spans="1:38" x14ac:dyDescent="0.3">
      <c r="A9" s="2">
        <v>8760</v>
      </c>
      <c r="B9" s="2" t="s">
        <v>19</v>
      </c>
      <c r="C9" s="10" t="s">
        <v>301</v>
      </c>
      <c r="D9" s="8">
        <v>42634</v>
      </c>
      <c r="E9" s="1">
        <v>2016</v>
      </c>
      <c r="F9" s="9" t="s">
        <v>20</v>
      </c>
      <c r="G9" s="9" t="s">
        <v>21</v>
      </c>
      <c r="H9" s="1">
        <v>42</v>
      </c>
      <c r="I9" s="1" t="s">
        <v>38</v>
      </c>
      <c r="J9" s="1" t="s">
        <v>39</v>
      </c>
      <c r="K9" s="1" t="s">
        <v>40</v>
      </c>
      <c r="L9" s="1" t="s">
        <v>25</v>
      </c>
      <c r="M9" s="1" t="s">
        <v>26</v>
      </c>
      <c r="N9" s="9" t="s">
        <v>27</v>
      </c>
      <c r="O9" s="1" t="s">
        <v>28</v>
      </c>
      <c r="P9" s="1" t="s">
        <v>29</v>
      </c>
      <c r="Q9" s="1">
        <v>880</v>
      </c>
      <c r="R9" s="1" t="s">
        <v>30</v>
      </c>
      <c r="S9" s="1" t="s">
        <v>31</v>
      </c>
      <c r="T9" s="1" t="str">
        <f>CONCATENATE("&gt;Usutu virus isolate ",K9,", NS5 gene, partial cds")</f>
        <v>&gt;Usutu virus isolate Africa 3, NS5 gene, partial cds</v>
      </c>
      <c r="U9" s="1" t="s">
        <v>19</v>
      </c>
      <c r="V9" s="5" t="s">
        <v>32</v>
      </c>
      <c r="W9" s="5" t="s">
        <v>219</v>
      </c>
    </row>
    <row r="10" spans="1:38" x14ac:dyDescent="0.3">
      <c r="A10" s="2">
        <v>8784</v>
      </c>
      <c r="B10" s="2" t="s">
        <v>19</v>
      </c>
      <c r="C10" s="10" t="s">
        <v>302</v>
      </c>
      <c r="D10" s="8">
        <v>42636</v>
      </c>
      <c r="E10" s="1">
        <v>2016</v>
      </c>
      <c r="F10" s="9" t="s">
        <v>20</v>
      </c>
      <c r="G10" s="9" t="s">
        <v>21</v>
      </c>
      <c r="H10" s="1">
        <v>87</v>
      </c>
      <c r="I10" s="1" t="s">
        <v>41</v>
      </c>
      <c r="J10" s="1" t="s">
        <v>42</v>
      </c>
      <c r="K10" s="1" t="s">
        <v>40</v>
      </c>
      <c r="L10" s="1" t="s">
        <v>25</v>
      </c>
      <c r="M10" s="1" t="s">
        <v>26</v>
      </c>
      <c r="N10" s="9" t="s">
        <v>27</v>
      </c>
      <c r="O10" s="1" t="s">
        <v>28</v>
      </c>
      <c r="P10" s="1" t="s">
        <v>29</v>
      </c>
      <c r="Q10" s="1">
        <v>1085</v>
      </c>
      <c r="R10" s="1" t="s">
        <v>30</v>
      </c>
      <c r="S10" s="1" t="s">
        <v>68</v>
      </c>
      <c r="T10" s="1" t="str">
        <f>CONCATENATE("&gt;Usutu virus isolate ",K10,", NS5 gene, partial cds")</f>
        <v>&gt;Usutu virus isolate Africa 3, NS5 gene, partial cds</v>
      </c>
      <c r="U10" s="1" t="s">
        <v>19</v>
      </c>
      <c r="V10" s="5" t="s">
        <v>32</v>
      </c>
      <c r="W10" s="5" t="s">
        <v>220</v>
      </c>
    </row>
    <row r="11" spans="1:38" x14ac:dyDescent="0.3">
      <c r="A11" s="2">
        <v>9615</v>
      </c>
      <c r="B11" s="2" t="s">
        <v>19</v>
      </c>
      <c r="C11" s="10" t="s">
        <v>303</v>
      </c>
      <c r="D11" s="8">
        <v>42585</v>
      </c>
      <c r="E11" s="1">
        <v>2016</v>
      </c>
      <c r="F11" s="9" t="s">
        <v>20</v>
      </c>
      <c r="G11" s="9" t="s">
        <v>21</v>
      </c>
      <c r="H11" s="1">
        <v>69</v>
      </c>
      <c r="I11" s="1" t="s">
        <v>49</v>
      </c>
      <c r="J11" s="1" t="s">
        <v>50</v>
      </c>
      <c r="K11" s="1" t="s">
        <v>24</v>
      </c>
      <c r="L11" s="1" t="s">
        <v>25</v>
      </c>
      <c r="M11" s="1" t="s">
        <v>26</v>
      </c>
      <c r="N11" s="9" t="s">
        <v>27</v>
      </c>
      <c r="O11" s="1" t="s">
        <v>28</v>
      </c>
      <c r="P11" s="1" t="s">
        <v>29</v>
      </c>
      <c r="Q11" s="1">
        <v>880</v>
      </c>
      <c r="R11" s="1" t="s">
        <v>30</v>
      </c>
      <c r="S11" s="1" t="s">
        <v>31</v>
      </c>
      <c r="T11" s="1" t="str">
        <f>CONCATENATE("&gt;Usutu virus isolate ",K11,", NS5 gene, partial cds")</f>
        <v>&gt;Usutu virus isolate Africa 2, NS5 gene, partial cds</v>
      </c>
      <c r="U11" s="1" t="s">
        <v>19</v>
      </c>
      <c r="V11" s="5" t="s">
        <v>32</v>
      </c>
      <c r="W11" s="5" t="s">
        <v>218</v>
      </c>
    </row>
    <row r="12" spans="1:38" x14ac:dyDescent="0.3">
      <c r="A12" s="2">
        <v>9617</v>
      </c>
      <c r="B12" s="2" t="s">
        <v>19</v>
      </c>
      <c r="C12" s="10" t="s">
        <v>304</v>
      </c>
      <c r="D12" s="8">
        <v>42585</v>
      </c>
      <c r="E12" s="1">
        <v>2016</v>
      </c>
      <c r="F12" s="9" t="s">
        <v>20</v>
      </c>
      <c r="G12" s="9" t="s">
        <v>21</v>
      </c>
      <c r="H12" s="1">
        <v>69</v>
      </c>
      <c r="I12" s="1" t="s">
        <v>49</v>
      </c>
      <c r="J12" s="1" t="s">
        <v>50</v>
      </c>
      <c r="K12" s="1" t="s">
        <v>24</v>
      </c>
      <c r="L12" s="1" t="s">
        <v>25</v>
      </c>
      <c r="M12" s="1" t="s">
        <v>26</v>
      </c>
      <c r="N12" s="9" t="s">
        <v>27</v>
      </c>
      <c r="O12" s="1" t="s">
        <v>28</v>
      </c>
      <c r="P12" s="1" t="s">
        <v>29</v>
      </c>
      <c r="Q12" s="1">
        <v>880</v>
      </c>
      <c r="R12" s="1" t="s">
        <v>30</v>
      </c>
      <c r="S12" s="1" t="s">
        <v>31</v>
      </c>
      <c r="T12" s="1" t="str">
        <f>CONCATENATE("&gt;Usutu virus isolate ",K12,", NS5 gene, partial cds")</f>
        <v>&gt;Usutu virus isolate Africa 2, NS5 gene, partial cds</v>
      </c>
      <c r="U12" s="1" t="s">
        <v>19</v>
      </c>
      <c r="V12" s="5" t="s">
        <v>32</v>
      </c>
      <c r="W12" s="5" t="s">
        <v>218</v>
      </c>
    </row>
    <row r="13" spans="1:38" x14ac:dyDescent="0.3">
      <c r="A13" s="2">
        <v>10209</v>
      </c>
      <c r="B13" s="2" t="s">
        <v>19</v>
      </c>
      <c r="C13" s="10" t="s">
        <v>221</v>
      </c>
      <c r="D13" s="8">
        <v>42632</v>
      </c>
      <c r="E13" s="1">
        <v>2016</v>
      </c>
      <c r="F13" s="9" t="s">
        <v>20</v>
      </c>
      <c r="G13" s="9" t="s">
        <v>21</v>
      </c>
      <c r="H13" s="1">
        <v>68</v>
      </c>
      <c r="I13" s="1" t="s">
        <v>43</v>
      </c>
      <c r="J13" s="1" t="s">
        <v>44</v>
      </c>
      <c r="K13" s="1" t="s">
        <v>35</v>
      </c>
      <c r="L13" s="1" t="s">
        <v>25</v>
      </c>
      <c r="M13" s="1" t="s">
        <v>26</v>
      </c>
      <c r="N13" s="9" t="s">
        <v>27</v>
      </c>
      <c r="O13" s="1" t="s">
        <v>28</v>
      </c>
      <c r="P13" s="1" t="s">
        <v>29</v>
      </c>
      <c r="Q13" s="1">
        <v>1085</v>
      </c>
      <c r="R13" s="1" t="s">
        <v>30</v>
      </c>
      <c r="S13" s="1" t="s">
        <v>68</v>
      </c>
      <c r="T13" s="1" t="str">
        <f>CONCATENATE("&gt;Usutu virus isolate ",K13,", NS5 gene, partial cds")</f>
        <v>&gt;Usutu virus isolate Europe 3, NS5 gene, partial cds</v>
      </c>
      <c r="U13" s="1" t="s">
        <v>19</v>
      </c>
      <c r="V13" s="5" t="s">
        <v>32</v>
      </c>
      <c r="W13" s="5" t="s">
        <v>222</v>
      </c>
    </row>
    <row r="14" spans="1:38" x14ac:dyDescent="0.3">
      <c r="A14" s="2">
        <v>10211</v>
      </c>
      <c r="B14" s="2" t="s">
        <v>19</v>
      </c>
      <c r="C14" s="10" t="s">
        <v>305</v>
      </c>
      <c r="D14" s="8">
        <v>42632</v>
      </c>
      <c r="E14" s="1">
        <v>2016</v>
      </c>
      <c r="F14" s="9" t="s">
        <v>20</v>
      </c>
      <c r="G14" s="9" t="s">
        <v>21</v>
      </c>
      <c r="H14" s="1">
        <v>68</v>
      </c>
      <c r="I14" s="1" t="s">
        <v>43</v>
      </c>
      <c r="J14" s="1" t="s">
        <v>44</v>
      </c>
      <c r="K14" s="1" t="s">
        <v>35</v>
      </c>
      <c r="L14" s="1" t="s">
        <v>25</v>
      </c>
      <c r="M14" s="1" t="s">
        <v>26</v>
      </c>
      <c r="N14" s="9" t="s">
        <v>27</v>
      </c>
      <c r="O14" s="1" t="s">
        <v>28</v>
      </c>
      <c r="P14" s="1" t="s">
        <v>29</v>
      </c>
      <c r="Q14" s="1">
        <v>1085</v>
      </c>
      <c r="R14" s="1" t="s">
        <v>30</v>
      </c>
      <c r="S14" s="1" t="s">
        <v>68</v>
      </c>
      <c r="T14" s="1" t="str">
        <f>CONCATENATE("&gt;Usutu virus isolate ",K14,", NS5 gene, partial cds")</f>
        <v>&gt;Usutu virus isolate Europe 3, NS5 gene, partial cds</v>
      </c>
      <c r="U14" s="1" t="s">
        <v>19</v>
      </c>
      <c r="V14" s="5" t="s">
        <v>32</v>
      </c>
      <c r="W14" s="5" t="s">
        <v>223</v>
      </c>
    </row>
    <row r="15" spans="1:38" x14ac:dyDescent="0.3">
      <c r="A15" s="2">
        <v>10212</v>
      </c>
      <c r="B15" s="2" t="s">
        <v>19</v>
      </c>
      <c r="C15" s="10" t="s">
        <v>306</v>
      </c>
      <c r="D15" s="8">
        <v>42635</v>
      </c>
      <c r="E15" s="1">
        <v>2016</v>
      </c>
      <c r="F15" s="9" t="s">
        <v>20</v>
      </c>
      <c r="G15" s="9" t="s">
        <v>21</v>
      </c>
      <c r="H15" s="1">
        <v>68</v>
      </c>
      <c r="I15" s="1" t="s">
        <v>45</v>
      </c>
      <c r="J15" s="1" t="s">
        <v>46</v>
      </c>
      <c r="K15" s="1" t="s">
        <v>35</v>
      </c>
      <c r="L15" s="1" t="s">
        <v>25</v>
      </c>
      <c r="M15" s="1" t="s">
        <v>26</v>
      </c>
      <c r="N15" s="9" t="s">
        <v>27</v>
      </c>
      <c r="O15" s="1" t="s">
        <v>28</v>
      </c>
      <c r="P15" s="1" t="s">
        <v>29</v>
      </c>
      <c r="Q15" s="1">
        <v>880</v>
      </c>
      <c r="R15" s="1" t="s">
        <v>30</v>
      </c>
      <c r="S15" s="1" t="s">
        <v>31</v>
      </c>
      <c r="T15" s="1" t="str">
        <f>CONCATENATE("&gt;Usutu virus isolate ",K15,", NS5 gene, partial cds")</f>
        <v>&gt;Usutu virus isolate Europe 3, NS5 gene, partial cds</v>
      </c>
      <c r="U15" s="1" t="s">
        <v>19</v>
      </c>
      <c r="V15" s="5" t="s">
        <v>32</v>
      </c>
      <c r="W15" s="5" t="s">
        <v>224</v>
      </c>
    </row>
    <row r="16" spans="1:38" x14ac:dyDescent="0.3">
      <c r="A16" s="2">
        <v>10270</v>
      </c>
      <c r="B16" s="2" t="s">
        <v>19</v>
      </c>
      <c r="C16" s="10" t="s">
        <v>307</v>
      </c>
      <c r="D16" s="8">
        <v>42648</v>
      </c>
      <c r="E16" s="1">
        <v>2016</v>
      </c>
      <c r="F16" s="9" t="s">
        <v>20</v>
      </c>
      <c r="G16" s="9" t="s">
        <v>21</v>
      </c>
      <c r="H16" s="1">
        <v>87</v>
      </c>
      <c r="I16" s="1" t="s">
        <v>47</v>
      </c>
      <c r="J16" s="1" t="s">
        <v>48</v>
      </c>
      <c r="K16" s="1" t="s">
        <v>40</v>
      </c>
      <c r="L16" s="1" t="s">
        <v>25</v>
      </c>
      <c r="M16" s="1" t="s">
        <v>26</v>
      </c>
      <c r="N16" s="9" t="s">
        <v>27</v>
      </c>
      <c r="O16" s="1" t="s">
        <v>28</v>
      </c>
      <c r="P16" s="1" t="s">
        <v>29</v>
      </c>
      <c r="Q16" s="1">
        <v>1085</v>
      </c>
      <c r="R16" s="1" t="s">
        <v>30</v>
      </c>
      <c r="S16" s="1" t="s">
        <v>68</v>
      </c>
      <c r="T16" s="1" t="str">
        <f>CONCATENATE("&gt;Usutu virus isolate ",K16,", NS5 gene, partial cds")</f>
        <v>&gt;Usutu virus isolate Africa 3, NS5 gene, partial cds</v>
      </c>
      <c r="U16" s="1" t="s">
        <v>19</v>
      </c>
      <c r="V16" s="5" t="s">
        <v>32</v>
      </c>
      <c r="W16" s="5" t="s">
        <v>225</v>
      </c>
    </row>
    <row r="17" spans="1:23" x14ac:dyDescent="0.3">
      <c r="A17" s="2" t="s">
        <v>226</v>
      </c>
      <c r="B17" s="2" t="s">
        <v>228</v>
      </c>
      <c r="C17" s="10" t="s">
        <v>227</v>
      </c>
      <c r="D17" s="8">
        <v>42635</v>
      </c>
      <c r="E17" s="1">
        <v>2016</v>
      </c>
      <c r="F17" s="9" t="s">
        <v>20</v>
      </c>
      <c r="G17" s="9" t="s">
        <v>21</v>
      </c>
      <c r="H17" s="1">
        <v>57</v>
      </c>
      <c r="I17" s="1" t="s">
        <v>147</v>
      </c>
      <c r="J17" s="1" t="s">
        <v>148</v>
      </c>
      <c r="K17" s="1" t="s">
        <v>35</v>
      </c>
      <c r="L17" s="1" t="s">
        <v>25</v>
      </c>
      <c r="M17" s="1" t="s">
        <v>53</v>
      </c>
      <c r="N17" s="9" t="s">
        <v>54</v>
      </c>
      <c r="O17" s="1" t="s">
        <v>55</v>
      </c>
      <c r="P17" s="1" t="s">
        <v>29</v>
      </c>
      <c r="Q17" s="1">
        <v>1085</v>
      </c>
      <c r="R17" s="1" t="s">
        <v>30</v>
      </c>
      <c r="S17" s="1">
        <v>454</v>
      </c>
      <c r="T17" s="1" t="s">
        <v>229</v>
      </c>
      <c r="U17" s="1" t="s">
        <v>228</v>
      </c>
      <c r="V17" s="5" t="s">
        <v>32</v>
      </c>
      <c r="W17" s="5" t="s">
        <v>230</v>
      </c>
    </row>
    <row r="18" spans="1:23" x14ac:dyDescent="0.3">
      <c r="A18" s="2">
        <v>6736</v>
      </c>
      <c r="B18" s="2" t="s">
        <v>19</v>
      </c>
      <c r="C18" s="10" t="s">
        <v>308</v>
      </c>
      <c r="D18" s="8" t="s">
        <v>189</v>
      </c>
      <c r="E18" s="1">
        <v>2017</v>
      </c>
      <c r="F18" s="9" t="s">
        <v>20</v>
      </c>
      <c r="G18" s="9" t="s">
        <v>21</v>
      </c>
      <c r="H18" s="1">
        <v>68</v>
      </c>
      <c r="I18" s="1" t="s">
        <v>51</v>
      </c>
      <c r="J18" s="1" t="s">
        <v>52</v>
      </c>
      <c r="K18" s="1" t="s">
        <v>35</v>
      </c>
      <c r="L18" s="1" t="s">
        <v>25</v>
      </c>
      <c r="M18" s="1" t="s">
        <v>53</v>
      </c>
      <c r="N18" s="9" t="s">
        <v>54</v>
      </c>
      <c r="O18" s="1" t="s">
        <v>55</v>
      </c>
      <c r="P18" s="1" t="s">
        <v>29</v>
      </c>
      <c r="Q18" s="1">
        <v>1085</v>
      </c>
      <c r="R18" s="1" t="s">
        <v>30</v>
      </c>
      <c r="S18" s="1" t="s">
        <v>68</v>
      </c>
      <c r="T18" s="1" t="str">
        <f>CONCATENATE("&gt;Usutu virus isolate ",K18,", NS5 gene, partial cds")</f>
        <v>&gt;Usutu virus isolate Europe 3, NS5 gene, partial cds</v>
      </c>
      <c r="U18" s="1" t="s">
        <v>19</v>
      </c>
      <c r="V18" s="5" t="s">
        <v>32</v>
      </c>
      <c r="W18" s="5" t="s">
        <v>231</v>
      </c>
    </row>
    <row r="19" spans="1:23" x14ac:dyDescent="0.3">
      <c r="A19" s="2">
        <v>7285</v>
      </c>
      <c r="B19" s="2" t="s">
        <v>19</v>
      </c>
      <c r="C19" s="10" t="s">
        <v>309</v>
      </c>
      <c r="D19" s="8">
        <v>42996</v>
      </c>
      <c r="E19" s="1">
        <v>2017</v>
      </c>
      <c r="F19" s="9" t="s">
        <v>20</v>
      </c>
      <c r="G19" s="9" t="s">
        <v>21</v>
      </c>
      <c r="H19" s="1">
        <v>41</v>
      </c>
      <c r="I19" s="1" t="s">
        <v>56</v>
      </c>
      <c r="J19" s="1" t="s">
        <v>57</v>
      </c>
      <c r="K19" s="1" t="s">
        <v>40</v>
      </c>
      <c r="L19" s="1" t="s">
        <v>25</v>
      </c>
      <c r="M19" s="1" t="s">
        <v>53</v>
      </c>
      <c r="N19" s="9" t="s">
        <v>54</v>
      </c>
      <c r="O19" s="1" t="s">
        <v>55</v>
      </c>
      <c r="P19" s="1" t="s">
        <v>29</v>
      </c>
      <c r="Q19" s="1">
        <v>1085</v>
      </c>
      <c r="R19" s="1" t="s">
        <v>30</v>
      </c>
      <c r="S19" s="1" t="s">
        <v>68</v>
      </c>
      <c r="T19" s="1" t="str">
        <f>CONCATENATE("&gt;Usutu virus isolate ",K19,", NS5 gene, partial cds")</f>
        <v>&gt;Usutu virus isolate Africa 3, NS5 gene, partial cds</v>
      </c>
      <c r="U19" s="1" t="s">
        <v>19</v>
      </c>
      <c r="V19" s="5" t="s">
        <v>32</v>
      </c>
      <c r="W19" s="5" t="s">
        <v>232</v>
      </c>
    </row>
    <row r="20" spans="1:23" x14ac:dyDescent="0.3">
      <c r="A20" s="2">
        <v>7391</v>
      </c>
      <c r="B20" s="2" t="s">
        <v>19</v>
      </c>
      <c r="C20" s="10" t="s">
        <v>310</v>
      </c>
      <c r="D20" s="8">
        <v>42990</v>
      </c>
      <c r="E20" s="1">
        <v>2017</v>
      </c>
      <c r="F20" s="9" t="s">
        <v>20</v>
      </c>
      <c r="G20" s="9" t="s">
        <v>21</v>
      </c>
      <c r="H20" s="1">
        <v>73</v>
      </c>
      <c r="I20" s="1" t="s">
        <v>58</v>
      </c>
      <c r="J20" s="1" t="s">
        <v>59</v>
      </c>
      <c r="K20" s="1" t="s">
        <v>40</v>
      </c>
      <c r="L20" s="1" t="s">
        <v>25</v>
      </c>
      <c r="M20" s="1" t="s">
        <v>26</v>
      </c>
      <c r="N20" s="9" t="s">
        <v>27</v>
      </c>
      <c r="O20" s="1" t="s">
        <v>28</v>
      </c>
      <c r="P20" s="1" t="s">
        <v>29</v>
      </c>
      <c r="Q20" s="1">
        <v>1085</v>
      </c>
      <c r="R20" s="1" t="s">
        <v>30</v>
      </c>
      <c r="S20" s="1" t="s">
        <v>68</v>
      </c>
      <c r="T20" s="1" t="str">
        <f>CONCATENATE("&gt;Usutu virus isolate ",K20,", NS5 gene, partial cds")</f>
        <v>&gt;Usutu virus isolate Africa 3, NS5 gene, partial cds</v>
      </c>
      <c r="U20" s="1" t="s">
        <v>19</v>
      </c>
      <c r="V20" s="5" t="s">
        <v>32</v>
      </c>
      <c r="W20" s="5" t="s">
        <v>233</v>
      </c>
    </row>
    <row r="21" spans="1:23" x14ac:dyDescent="0.3">
      <c r="A21" s="2">
        <v>7641</v>
      </c>
      <c r="B21" s="2" t="s">
        <v>19</v>
      </c>
      <c r="C21" s="10" t="s">
        <v>311</v>
      </c>
      <c r="D21" s="8">
        <v>42996</v>
      </c>
      <c r="E21" s="1">
        <v>2017</v>
      </c>
      <c r="F21" s="9" t="s">
        <v>20</v>
      </c>
      <c r="G21" s="9" t="s">
        <v>21</v>
      </c>
      <c r="H21" s="1">
        <v>38</v>
      </c>
      <c r="I21" s="1" t="s">
        <v>60</v>
      </c>
      <c r="J21" s="1" t="s">
        <v>61</v>
      </c>
      <c r="K21" s="1" t="s">
        <v>40</v>
      </c>
      <c r="L21" s="1" t="s">
        <v>25</v>
      </c>
      <c r="M21" s="1" t="s">
        <v>26</v>
      </c>
      <c r="N21" s="9" t="s">
        <v>27</v>
      </c>
      <c r="O21" s="1" t="s">
        <v>28</v>
      </c>
      <c r="P21" s="1" t="s">
        <v>29</v>
      </c>
      <c r="Q21" s="1">
        <v>764</v>
      </c>
      <c r="R21" s="1" t="s">
        <v>30</v>
      </c>
      <c r="S21" s="1" t="s">
        <v>31</v>
      </c>
      <c r="T21" s="1" t="str">
        <f>CONCATENATE("&gt;Usutu virus isolate ",K21,", NS5 gene, partial cds")</f>
        <v>&gt;Usutu virus isolate Africa 3, NS5 gene, partial cds</v>
      </c>
      <c r="U21" s="1" t="s">
        <v>19</v>
      </c>
      <c r="V21" s="5" t="s">
        <v>32</v>
      </c>
      <c r="W21" s="5" t="s">
        <v>234</v>
      </c>
    </row>
    <row r="22" spans="1:23" x14ac:dyDescent="0.3">
      <c r="A22" s="2">
        <v>9784</v>
      </c>
      <c r="B22" s="2" t="s">
        <v>19</v>
      </c>
      <c r="C22" s="10" t="s">
        <v>312</v>
      </c>
      <c r="D22" s="8">
        <v>43008</v>
      </c>
      <c r="E22" s="1">
        <v>2017</v>
      </c>
      <c r="F22" s="9" t="s">
        <v>20</v>
      </c>
      <c r="G22" s="9" t="s">
        <v>21</v>
      </c>
      <c r="H22" s="1" t="s">
        <v>62</v>
      </c>
      <c r="I22" s="1" t="s">
        <v>63</v>
      </c>
      <c r="J22" s="1" t="s">
        <v>64</v>
      </c>
      <c r="K22" s="1" t="s">
        <v>40</v>
      </c>
      <c r="L22" s="1" t="s">
        <v>25</v>
      </c>
      <c r="M22" s="1" t="s">
        <v>26</v>
      </c>
      <c r="N22" s="9" t="s">
        <v>27</v>
      </c>
      <c r="O22" s="1" t="s">
        <v>65</v>
      </c>
      <c r="P22" s="1" t="s">
        <v>29</v>
      </c>
      <c r="Q22" s="1">
        <v>887</v>
      </c>
      <c r="R22" s="1" t="s">
        <v>30</v>
      </c>
      <c r="S22" s="1" t="s">
        <v>31</v>
      </c>
      <c r="T22" s="1" t="str">
        <f>CONCATENATE("&gt;Usutu virus isolate ",K22,", NS5 gene, partial cds")</f>
        <v>&gt;Usutu virus isolate Africa 3, NS5 gene, partial cds</v>
      </c>
      <c r="U22" s="1" t="s">
        <v>19</v>
      </c>
      <c r="V22" s="5" t="s">
        <v>32</v>
      </c>
      <c r="W22" s="5" t="s">
        <v>235</v>
      </c>
    </row>
    <row r="23" spans="1:23" x14ac:dyDescent="0.3">
      <c r="A23" s="2">
        <v>4752</v>
      </c>
      <c r="B23" s="2" t="s">
        <v>19</v>
      </c>
      <c r="C23" s="10" t="s">
        <v>313</v>
      </c>
      <c r="D23" s="8">
        <v>43308</v>
      </c>
      <c r="E23" s="1">
        <v>2018</v>
      </c>
      <c r="F23" s="9" t="s">
        <v>20</v>
      </c>
      <c r="G23" s="9" t="s">
        <v>21</v>
      </c>
      <c r="H23" s="1">
        <v>75</v>
      </c>
      <c r="I23" s="1" t="s">
        <v>66</v>
      </c>
      <c r="J23" s="1" t="s">
        <v>67</v>
      </c>
      <c r="K23" s="1" t="s">
        <v>40</v>
      </c>
      <c r="L23" s="1" t="s">
        <v>25</v>
      </c>
      <c r="M23" s="1" t="s">
        <v>53</v>
      </c>
      <c r="N23" s="9" t="s">
        <v>54</v>
      </c>
      <c r="O23" s="1" t="s">
        <v>55</v>
      </c>
      <c r="P23" s="1" t="s">
        <v>29</v>
      </c>
      <c r="Q23" s="1">
        <v>1085</v>
      </c>
      <c r="R23" s="1" t="s">
        <v>30</v>
      </c>
      <c r="S23" s="1" t="s">
        <v>68</v>
      </c>
      <c r="T23" s="1" t="str">
        <f>CONCATENATE("&gt;Usutu virus isolate ",K23,", NS5 gene, partial cds")</f>
        <v>&gt;Usutu virus isolate Africa 3, NS5 gene, partial cds</v>
      </c>
      <c r="U23" s="1" t="s">
        <v>19</v>
      </c>
      <c r="V23" s="5" t="s">
        <v>32</v>
      </c>
      <c r="W23" s="5" t="s">
        <v>236</v>
      </c>
    </row>
    <row r="24" spans="1:23" x14ac:dyDescent="0.3">
      <c r="A24" s="2">
        <v>4817</v>
      </c>
      <c r="B24" s="2" t="s">
        <v>19</v>
      </c>
      <c r="C24" s="10" t="s">
        <v>314</v>
      </c>
      <c r="D24" s="8">
        <v>43304</v>
      </c>
      <c r="E24" s="1">
        <v>2018</v>
      </c>
      <c r="F24" s="9" t="s">
        <v>20</v>
      </c>
      <c r="G24" s="9" t="s">
        <v>21</v>
      </c>
      <c r="H24" s="1">
        <v>36</v>
      </c>
      <c r="I24" s="1" t="s">
        <v>69</v>
      </c>
      <c r="J24" s="1" t="s">
        <v>70</v>
      </c>
      <c r="K24" s="1" t="s">
        <v>40</v>
      </c>
      <c r="L24" s="1" t="s">
        <v>25</v>
      </c>
      <c r="M24" s="1" t="s">
        <v>26</v>
      </c>
      <c r="N24" s="9" t="s">
        <v>27</v>
      </c>
      <c r="O24" s="1" t="s">
        <v>28</v>
      </c>
      <c r="P24" s="1" t="s">
        <v>29</v>
      </c>
      <c r="Q24" s="1">
        <v>1085</v>
      </c>
      <c r="R24" s="1" t="s">
        <v>30</v>
      </c>
      <c r="S24" s="1" t="s">
        <v>68</v>
      </c>
      <c r="T24" s="1" t="str">
        <f>CONCATENATE("&gt;Usutu virus isolate ",K24,", NS5 gene, partial cds")</f>
        <v>&gt;Usutu virus isolate Africa 3, NS5 gene, partial cds</v>
      </c>
      <c r="U24" s="1" t="s">
        <v>19</v>
      </c>
      <c r="V24" s="5" t="s">
        <v>32</v>
      </c>
      <c r="W24" s="5" t="s">
        <v>237</v>
      </c>
    </row>
    <row r="25" spans="1:23" x14ac:dyDescent="0.3">
      <c r="A25" s="2">
        <v>4838</v>
      </c>
      <c r="B25" s="2" t="s">
        <v>19</v>
      </c>
      <c r="C25" s="10" t="s">
        <v>315</v>
      </c>
      <c r="D25" s="8">
        <v>43307</v>
      </c>
      <c r="E25" s="1">
        <v>2018</v>
      </c>
      <c r="F25" s="9" t="s">
        <v>20</v>
      </c>
      <c r="G25" s="9" t="s">
        <v>21</v>
      </c>
      <c r="H25" s="1">
        <v>41</v>
      </c>
      <c r="I25" s="1" t="s">
        <v>71</v>
      </c>
      <c r="J25" s="1" t="s">
        <v>72</v>
      </c>
      <c r="K25" s="1" t="s">
        <v>40</v>
      </c>
      <c r="L25" s="1" t="s">
        <v>25</v>
      </c>
      <c r="M25" s="1" t="s">
        <v>26</v>
      </c>
      <c r="N25" s="9" t="s">
        <v>27</v>
      </c>
      <c r="O25" s="1" t="s">
        <v>28</v>
      </c>
      <c r="P25" s="1" t="s">
        <v>29</v>
      </c>
      <c r="Q25" s="1">
        <v>1085</v>
      </c>
      <c r="R25" s="1" t="s">
        <v>30</v>
      </c>
      <c r="S25" s="1" t="s">
        <v>68</v>
      </c>
      <c r="T25" s="1" t="str">
        <f>CONCATENATE("&gt;Usutu virus isolate ",K25,", NS5 gene, partial cds")</f>
        <v>&gt;Usutu virus isolate Africa 3, NS5 gene, partial cds</v>
      </c>
      <c r="U25" s="1" t="s">
        <v>19</v>
      </c>
      <c r="V25" s="5" t="s">
        <v>32</v>
      </c>
      <c r="W25" s="5" t="s">
        <v>238</v>
      </c>
    </row>
    <row r="26" spans="1:23" x14ac:dyDescent="0.3">
      <c r="A26" s="2">
        <v>4997</v>
      </c>
      <c r="B26" s="2" t="s">
        <v>240</v>
      </c>
      <c r="C26" s="10" t="s">
        <v>239</v>
      </c>
      <c r="D26" s="8">
        <v>43305</v>
      </c>
      <c r="E26" s="1">
        <v>2018</v>
      </c>
      <c r="F26" s="9" t="s">
        <v>20</v>
      </c>
      <c r="G26" s="9" t="s">
        <v>21</v>
      </c>
      <c r="H26" s="1">
        <v>87</v>
      </c>
      <c r="I26" s="1" t="s">
        <v>73</v>
      </c>
      <c r="J26" s="1" t="s">
        <v>74</v>
      </c>
      <c r="K26" s="1" t="s">
        <v>40</v>
      </c>
      <c r="L26" s="1" t="s">
        <v>25</v>
      </c>
      <c r="M26" s="1" t="s">
        <v>26</v>
      </c>
      <c r="N26" s="9" t="s">
        <v>27</v>
      </c>
      <c r="O26" s="1" t="s">
        <v>28</v>
      </c>
      <c r="P26" s="1" t="s">
        <v>29</v>
      </c>
      <c r="Q26" s="1">
        <v>1085</v>
      </c>
      <c r="R26" s="1" t="s">
        <v>30</v>
      </c>
      <c r="S26" s="1" t="s">
        <v>68</v>
      </c>
      <c r="T26" s="1" t="s">
        <v>241</v>
      </c>
      <c r="U26" s="1" t="s">
        <v>240</v>
      </c>
      <c r="V26" s="5" t="s">
        <v>32</v>
      </c>
      <c r="W26" s="5" t="s">
        <v>242</v>
      </c>
    </row>
    <row r="27" spans="1:23" x14ac:dyDescent="0.3">
      <c r="A27" s="2">
        <v>5102</v>
      </c>
      <c r="B27" s="2" t="s">
        <v>19</v>
      </c>
      <c r="C27" s="10" t="s">
        <v>316</v>
      </c>
      <c r="D27" s="8">
        <v>43315</v>
      </c>
      <c r="E27" s="1">
        <v>2018</v>
      </c>
      <c r="F27" s="9" t="s">
        <v>20</v>
      </c>
      <c r="G27" s="9" t="s">
        <v>21</v>
      </c>
      <c r="H27" s="1">
        <v>86</v>
      </c>
      <c r="I27" s="1" t="s">
        <v>75</v>
      </c>
      <c r="J27" s="1" t="s">
        <v>76</v>
      </c>
      <c r="K27" s="1" t="s">
        <v>40</v>
      </c>
      <c r="L27" s="1" t="s">
        <v>25</v>
      </c>
      <c r="M27" s="1" t="s">
        <v>26</v>
      </c>
      <c r="N27" s="9" t="s">
        <v>27</v>
      </c>
      <c r="O27" s="1" t="s">
        <v>28</v>
      </c>
      <c r="P27" s="1" t="s">
        <v>29</v>
      </c>
      <c r="Q27" s="1">
        <v>1085</v>
      </c>
      <c r="R27" s="1" t="s">
        <v>30</v>
      </c>
      <c r="S27" s="1" t="s">
        <v>68</v>
      </c>
      <c r="T27" s="1" t="str">
        <f>CONCATENATE("&gt;Usutu virus isolate ",K27,", NS5 gene, partial cds")</f>
        <v>&gt;Usutu virus isolate Africa 3, NS5 gene, partial cds</v>
      </c>
      <c r="U27" s="1" t="s">
        <v>19</v>
      </c>
      <c r="V27" s="5" t="s">
        <v>32</v>
      </c>
      <c r="W27" s="5" t="s">
        <v>243</v>
      </c>
    </row>
    <row r="28" spans="1:23" x14ac:dyDescent="0.3">
      <c r="A28" s="2">
        <v>5114</v>
      </c>
      <c r="B28" s="2" t="s">
        <v>19</v>
      </c>
      <c r="C28" s="10" t="s">
        <v>317</v>
      </c>
      <c r="D28" s="8">
        <v>43318</v>
      </c>
      <c r="E28" s="1">
        <v>2018</v>
      </c>
      <c r="F28" s="9" t="s">
        <v>20</v>
      </c>
      <c r="G28" s="9" t="s">
        <v>21</v>
      </c>
      <c r="H28" s="1">
        <v>44</v>
      </c>
      <c r="I28" s="1" t="s">
        <v>77</v>
      </c>
      <c r="J28" s="1" t="s">
        <v>78</v>
      </c>
      <c r="K28" s="1" t="s">
        <v>40</v>
      </c>
      <c r="L28" s="1" t="s">
        <v>25</v>
      </c>
      <c r="M28" s="1" t="s">
        <v>26</v>
      </c>
      <c r="N28" s="9" t="s">
        <v>27</v>
      </c>
      <c r="O28" s="1" t="s">
        <v>28</v>
      </c>
      <c r="P28" s="1" t="s">
        <v>29</v>
      </c>
      <c r="Q28" s="1">
        <v>1085</v>
      </c>
      <c r="R28" s="1" t="s">
        <v>30</v>
      </c>
      <c r="S28" s="1" t="s">
        <v>68</v>
      </c>
      <c r="T28" s="1" t="str">
        <f>CONCATENATE("&gt;Usutu virus isolate ",K28,", NS5 gene, partial cds")</f>
        <v>&gt;Usutu virus isolate Africa 3, NS5 gene, partial cds</v>
      </c>
      <c r="U28" s="1" t="s">
        <v>19</v>
      </c>
      <c r="V28" s="5" t="s">
        <v>32</v>
      </c>
      <c r="W28" s="5" t="s">
        <v>238</v>
      </c>
    </row>
    <row r="29" spans="1:23" x14ac:dyDescent="0.3">
      <c r="A29" s="2">
        <v>5278</v>
      </c>
      <c r="B29" s="2" t="s">
        <v>19</v>
      </c>
      <c r="C29" s="10" t="s">
        <v>318</v>
      </c>
      <c r="D29" s="8">
        <v>43311</v>
      </c>
      <c r="E29" s="1">
        <v>2018</v>
      </c>
      <c r="F29" s="9" t="s">
        <v>20</v>
      </c>
      <c r="G29" s="9" t="s">
        <v>21</v>
      </c>
      <c r="H29" s="1">
        <v>53</v>
      </c>
      <c r="I29" s="1" t="s">
        <v>79</v>
      </c>
      <c r="J29" s="1" t="s">
        <v>80</v>
      </c>
      <c r="K29" s="1" t="s">
        <v>40</v>
      </c>
      <c r="L29" s="1" t="s">
        <v>25</v>
      </c>
      <c r="M29" s="1" t="s">
        <v>53</v>
      </c>
      <c r="N29" s="9" t="s">
        <v>54</v>
      </c>
      <c r="O29" s="1" t="s">
        <v>55</v>
      </c>
      <c r="P29" s="1" t="s">
        <v>29</v>
      </c>
      <c r="Q29" s="1">
        <v>264</v>
      </c>
      <c r="R29" s="1" t="s">
        <v>30</v>
      </c>
      <c r="S29" s="1" t="s">
        <v>31</v>
      </c>
      <c r="T29" s="1" t="str">
        <f>CONCATENATE("&gt;Usutu virus isolate ",K29,", NS5 gene, partial cds")</f>
        <v>&gt;Usutu virus isolate Africa 3, NS5 gene, partial cds</v>
      </c>
      <c r="U29" s="1" t="s">
        <v>19</v>
      </c>
      <c r="V29" s="5" t="s">
        <v>32</v>
      </c>
      <c r="W29" s="5" t="s">
        <v>244</v>
      </c>
    </row>
    <row r="30" spans="1:23" x14ac:dyDescent="0.3">
      <c r="A30" s="2">
        <v>5279</v>
      </c>
      <c r="B30" s="2" t="s">
        <v>19</v>
      </c>
      <c r="C30" s="10" t="s">
        <v>319</v>
      </c>
      <c r="D30" s="8">
        <v>43313</v>
      </c>
      <c r="E30" s="1">
        <v>2018</v>
      </c>
      <c r="F30" s="9" t="s">
        <v>20</v>
      </c>
      <c r="G30" s="9" t="s">
        <v>21</v>
      </c>
      <c r="H30" s="1">
        <v>53</v>
      </c>
      <c r="I30" s="1" t="s">
        <v>79</v>
      </c>
      <c r="J30" s="1" t="s">
        <v>80</v>
      </c>
      <c r="K30" s="1" t="s">
        <v>40</v>
      </c>
      <c r="L30" s="1" t="s">
        <v>25</v>
      </c>
      <c r="M30" s="1" t="s">
        <v>53</v>
      </c>
      <c r="N30" s="9" t="s">
        <v>54</v>
      </c>
      <c r="O30" s="1" t="s">
        <v>55</v>
      </c>
      <c r="P30" s="1" t="s">
        <v>29</v>
      </c>
      <c r="Q30" s="1">
        <v>292</v>
      </c>
      <c r="R30" s="1" t="s">
        <v>30</v>
      </c>
      <c r="S30" s="1" t="s">
        <v>31</v>
      </c>
      <c r="T30" s="1" t="str">
        <f>CONCATENATE("&gt;Usutu virus isolate ",K30,", NS5 gene, partial cds")</f>
        <v>&gt;Usutu virus isolate Africa 3, NS5 gene, partial cds</v>
      </c>
      <c r="U30" s="1" t="s">
        <v>19</v>
      </c>
      <c r="V30" s="5" t="s">
        <v>32</v>
      </c>
      <c r="W30" s="5" t="s">
        <v>245</v>
      </c>
    </row>
    <row r="31" spans="1:23" x14ac:dyDescent="0.3">
      <c r="A31" s="2">
        <v>5326</v>
      </c>
      <c r="B31" s="2" t="s">
        <v>19</v>
      </c>
      <c r="C31" s="10" t="s">
        <v>320</v>
      </c>
      <c r="D31" s="8">
        <v>43321</v>
      </c>
      <c r="E31" s="1">
        <v>2018</v>
      </c>
      <c r="F31" s="9" t="s">
        <v>20</v>
      </c>
      <c r="G31" s="9" t="s">
        <v>21</v>
      </c>
      <c r="H31" s="1">
        <v>79</v>
      </c>
      <c r="I31" s="1" t="s">
        <v>81</v>
      </c>
      <c r="J31" s="1" t="s">
        <v>82</v>
      </c>
      <c r="K31" s="1" t="s">
        <v>40</v>
      </c>
      <c r="L31" s="1" t="s">
        <v>25</v>
      </c>
      <c r="M31" s="1" t="s">
        <v>26</v>
      </c>
      <c r="N31" s="9" t="s">
        <v>27</v>
      </c>
      <c r="O31" s="1" t="s">
        <v>28</v>
      </c>
      <c r="P31" s="1" t="s">
        <v>29</v>
      </c>
      <c r="Q31" s="1">
        <v>292</v>
      </c>
      <c r="R31" s="1" t="s">
        <v>30</v>
      </c>
      <c r="S31" s="1" t="s">
        <v>31</v>
      </c>
      <c r="T31" s="1" t="str">
        <f>CONCATENATE("&gt;Usutu virus isolate ",K31,", NS5 gene, partial cds")</f>
        <v>&gt;Usutu virus isolate Africa 3, NS5 gene, partial cds</v>
      </c>
      <c r="U31" s="1" t="s">
        <v>19</v>
      </c>
      <c r="V31" s="5" t="s">
        <v>32</v>
      </c>
      <c r="W31" s="5" t="s">
        <v>246</v>
      </c>
    </row>
    <row r="32" spans="1:23" x14ac:dyDescent="0.3">
      <c r="A32" s="2">
        <v>5356</v>
      </c>
      <c r="B32" s="2" t="s">
        <v>19</v>
      </c>
      <c r="C32" s="10" t="s">
        <v>321</v>
      </c>
      <c r="D32" s="8">
        <v>43328</v>
      </c>
      <c r="E32" s="1">
        <v>2018</v>
      </c>
      <c r="F32" s="9" t="s">
        <v>20</v>
      </c>
      <c r="G32" s="9" t="s">
        <v>21</v>
      </c>
      <c r="H32" s="1">
        <v>75</v>
      </c>
      <c r="I32" s="1" t="s">
        <v>83</v>
      </c>
      <c r="J32" s="1" t="s">
        <v>67</v>
      </c>
      <c r="K32" s="1" t="s">
        <v>40</v>
      </c>
      <c r="L32" s="1" t="s">
        <v>25</v>
      </c>
      <c r="M32" s="1" t="s">
        <v>26</v>
      </c>
      <c r="N32" s="9" t="s">
        <v>27</v>
      </c>
      <c r="O32" s="1" t="s">
        <v>28</v>
      </c>
      <c r="P32" s="1" t="s">
        <v>29</v>
      </c>
      <c r="Q32" s="1">
        <v>292</v>
      </c>
      <c r="R32" s="1" t="s">
        <v>30</v>
      </c>
      <c r="S32" s="1" t="s">
        <v>31</v>
      </c>
      <c r="T32" s="1" t="str">
        <f>CONCATENATE("&gt;Usutu virus isolate ",K32,", NS5 gene, partial cds")</f>
        <v>&gt;Usutu virus isolate Africa 3, NS5 gene, partial cds</v>
      </c>
      <c r="U32" s="1" t="s">
        <v>19</v>
      </c>
      <c r="V32" s="5" t="s">
        <v>32</v>
      </c>
      <c r="W32" s="5" t="s">
        <v>245</v>
      </c>
    </row>
    <row r="33" spans="1:23" x14ac:dyDescent="0.3">
      <c r="A33" s="2">
        <v>5425</v>
      </c>
      <c r="B33" s="2" t="s">
        <v>19</v>
      </c>
      <c r="C33" s="10" t="s">
        <v>322</v>
      </c>
      <c r="D33" s="8" t="s">
        <v>190</v>
      </c>
      <c r="E33" s="1">
        <v>2018</v>
      </c>
      <c r="F33" s="9" t="s">
        <v>20</v>
      </c>
      <c r="G33" s="9" t="s">
        <v>21</v>
      </c>
      <c r="H33" s="1" t="s">
        <v>84</v>
      </c>
      <c r="I33" s="1" t="s">
        <v>85</v>
      </c>
      <c r="J33" s="1" t="s">
        <v>86</v>
      </c>
      <c r="K33" s="1" t="s">
        <v>40</v>
      </c>
      <c r="L33" s="1" t="s">
        <v>25</v>
      </c>
      <c r="M33" s="1" t="s">
        <v>53</v>
      </c>
      <c r="N33" s="9" t="s">
        <v>87</v>
      </c>
      <c r="O33" s="1" t="s">
        <v>88</v>
      </c>
      <c r="P33" s="1" t="s">
        <v>29</v>
      </c>
      <c r="Q33" s="1">
        <v>266</v>
      </c>
      <c r="R33" s="1" t="s">
        <v>30</v>
      </c>
      <c r="S33" s="1" t="s">
        <v>31</v>
      </c>
      <c r="T33" s="1" t="str">
        <f>CONCATENATE("&gt;Usutu virus isolate ",K33,", NS5 gene, partial cds")</f>
        <v>&gt;Usutu virus isolate Africa 3, NS5 gene, partial cds</v>
      </c>
      <c r="U33" s="1" t="s">
        <v>19</v>
      </c>
      <c r="V33" s="5" t="s">
        <v>32</v>
      </c>
      <c r="W33" s="5" t="s">
        <v>247</v>
      </c>
    </row>
    <row r="34" spans="1:23" x14ac:dyDescent="0.3">
      <c r="A34" s="2">
        <v>5442</v>
      </c>
      <c r="B34" s="2" t="s">
        <v>19</v>
      </c>
      <c r="C34" s="10" t="s">
        <v>323</v>
      </c>
      <c r="D34" s="8">
        <v>43333</v>
      </c>
      <c r="E34" s="1">
        <v>2018</v>
      </c>
      <c r="F34" s="9" t="s">
        <v>20</v>
      </c>
      <c r="G34" s="9" t="s">
        <v>21</v>
      </c>
      <c r="H34" s="1">
        <v>57</v>
      </c>
      <c r="I34" s="1" t="s">
        <v>147</v>
      </c>
      <c r="J34" s="1" t="s">
        <v>148</v>
      </c>
      <c r="K34" s="1" t="s">
        <v>35</v>
      </c>
      <c r="L34" s="1" t="s">
        <v>25</v>
      </c>
      <c r="M34" s="1" t="s">
        <v>191</v>
      </c>
      <c r="N34" s="9" t="s">
        <v>192</v>
      </c>
      <c r="O34" s="1" t="s">
        <v>193</v>
      </c>
      <c r="P34" s="1" t="s">
        <v>29</v>
      </c>
      <c r="Q34" s="1">
        <v>292</v>
      </c>
      <c r="R34" s="1" t="s">
        <v>30</v>
      </c>
      <c r="S34" s="1" t="s">
        <v>31</v>
      </c>
      <c r="T34" s="1" t="str">
        <f>CONCATENATE("&gt;Usutu virus isolate ",K34,", NS5 gene, partial cds")</f>
        <v>&gt;Usutu virus isolate Europe 3, NS5 gene, partial cds</v>
      </c>
      <c r="U34" s="1" t="s">
        <v>19</v>
      </c>
      <c r="V34" s="5" t="s">
        <v>32</v>
      </c>
      <c r="W34" s="5" t="s">
        <v>248</v>
      </c>
    </row>
    <row r="35" spans="1:23" x14ac:dyDescent="0.3">
      <c r="A35" s="2">
        <v>5450</v>
      </c>
      <c r="B35" s="2" t="s">
        <v>19</v>
      </c>
      <c r="C35" s="10" t="s">
        <v>324</v>
      </c>
      <c r="D35" s="8" t="s">
        <v>194</v>
      </c>
      <c r="E35" s="1">
        <v>2018</v>
      </c>
      <c r="F35" s="9" t="s">
        <v>20</v>
      </c>
      <c r="G35" s="9" t="s">
        <v>21</v>
      </c>
      <c r="H35" s="1">
        <v>18</v>
      </c>
      <c r="I35" s="1" t="s">
        <v>89</v>
      </c>
      <c r="J35" s="1" t="s">
        <v>90</v>
      </c>
      <c r="K35" s="1" t="s">
        <v>40</v>
      </c>
      <c r="L35" s="1" t="s">
        <v>25</v>
      </c>
      <c r="M35" s="1" t="s">
        <v>26</v>
      </c>
      <c r="N35" s="9" t="s">
        <v>27</v>
      </c>
      <c r="O35" s="1" t="s">
        <v>28</v>
      </c>
      <c r="P35" s="1" t="s">
        <v>29</v>
      </c>
      <c r="Q35" s="1">
        <v>292</v>
      </c>
      <c r="R35" s="1" t="s">
        <v>30</v>
      </c>
      <c r="S35" s="1" t="s">
        <v>31</v>
      </c>
      <c r="T35" s="1" t="str">
        <f>CONCATENATE("&gt;Usutu virus isolate ",K35,", NS5 gene, partial cds")</f>
        <v>&gt;Usutu virus isolate Africa 3, NS5 gene, partial cds</v>
      </c>
      <c r="U35" s="1" t="s">
        <v>19</v>
      </c>
      <c r="V35" s="5" t="s">
        <v>32</v>
      </c>
      <c r="W35" s="5" t="s">
        <v>245</v>
      </c>
    </row>
    <row r="36" spans="1:23" x14ac:dyDescent="0.3">
      <c r="A36" s="2">
        <v>5453</v>
      </c>
      <c r="B36" s="2" t="s">
        <v>19</v>
      </c>
      <c r="C36" s="10" t="s">
        <v>325</v>
      </c>
      <c r="D36" s="8">
        <v>43332</v>
      </c>
      <c r="E36" s="1">
        <v>2018</v>
      </c>
      <c r="F36" s="9" t="s">
        <v>20</v>
      </c>
      <c r="G36" s="9" t="s">
        <v>21</v>
      </c>
      <c r="H36" s="1">
        <v>87</v>
      </c>
      <c r="I36" s="1" t="s">
        <v>91</v>
      </c>
      <c r="J36" s="1" t="s">
        <v>92</v>
      </c>
      <c r="K36" s="1" t="s">
        <v>40</v>
      </c>
      <c r="L36" s="1" t="s">
        <v>25</v>
      </c>
      <c r="M36" s="1" t="s">
        <v>26</v>
      </c>
      <c r="N36" s="9" t="s">
        <v>27</v>
      </c>
      <c r="O36" s="1" t="s">
        <v>28</v>
      </c>
      <c r="P36" s="1" t="s">
        <v>29</v>
      </c>
      <c r="Q36" s="1">
        <v>292</v>
      </c>
      <c r="R36" s="1" t="s">
        <v>30</v>
      </c>
      <c r="S36" s="1" t="s">
        <v>31</v>
      </c>
      <c r="T36" s="1" t="str">
        <f>CONCATENATE("&gt;Usutu virus isolate ",K36,", NS5 gene, partial cds")</f>
        <v>&gt;Usutu virus isolate Africa 3, NS5 gene, partial cds</v>
      </c>
      <c r="U36" s="1" t="s">
        <v>19</v>
      </c>
      <c r="V36" s="5" t="s">
        <v>32</v>
      </c>
      <c r="W36" s="5" t="s">
        <v>249</v>
      </c>
    </row>
    <row r="37" spans="1:23" x14ac:dyDescent="0.3">
      <c r="A37" s="2">
        <v>5490</v>
      </c>
      <c r="B37" s="2" t="s">
        <v>19</v>
      </c>
      <c r="C37" s="10" t="s">
        <v>326</v>
      </c>
      <c r="D37" s="8">
        <v>43319</v>
      </c>
      <c r="E37" s="1">
        <v>2018</v>
      </c>
      <c r="F37" s="9" t="s">
        <v>20</v>
      </c>
      <c r="G37" s="9" t="s">
        <v>21</v>
      </c>
      <c r="H37" s="1">
        <v>57</v>
      </c>
      <c r="I37" s="1" t="s">
        <v>93</v>
      </c>
      <c r="J37" s="1" t="s">
        <v>94</v>
      </c>
      <c r="K37" s="1" t="s">
        <v>40</v>
      </c>
      <c r="L37" s="1" t="s">
        <v>25</v>
      </c>
      <c r="M37" s="1" t="s">
        <v>53</v>
      </c>
      <c r="N37" s="9" t="s">
        <v>54</v>
      </c>
      <c r="O37" s="1" t="s">
        <v>55</v>
      </c>
      <c r="P37" s="1" t="s">
        <v>29</v>
      </c>
      <c r="Q37" s="1">
        <v>1085</v>
      </c>
      <c r="R37" s="1" t="s">
        <v>30</v>
      </c>
      <c r="S37" s="1" t="s">
        <v>68</v>
      </c>
      <c r="T37" s="1" t="str">
        <f>CONCATENATE("&gt;Usutu virus isolate ",K37,", NS5 gene, partial cds")</f>
        <v>&gt;Usutu virus isolate Africa 3, NS5 gene, partial cds</v>
      </c>
      <c r="U37" s="1" t="s">
        <v>19</v>
      </c>
      <c r="V37" s="5" t="s">
        <v>32</v>
      </c>
      <c r="W37" s="5" t="s">
        <v>250</v>
      </c>
    </row>
    <row r="38" spans="1:23" x14ac:dyDescent="0.3">
      <c r="A38" s="2">
        <v>5525</v>
      </c>
      <c r="B38" s="2" t="s">
        <v>19</v>
      </c>
      <c r="C38" s="10" t="s">
        <v>327</v>
      </c>
      <c r="D38" s="8">
        <v>43332</v>
      </c>
      <c r="E38" s="1">
        <v>2018</v>
      </c>
      <c r="F38" s="9" t="s">
        <v>20</v>
      </c>
      <c r="G38" s="9" t="s">
        <v>21</v>
      </c>
      <c r="H38" s="1">
        <v>36</v>
      </c>
      <c r="I38" s="1" t="s">
        <v>69</v>
      </c>
      <c r="J38" s="1" t="s">
        <v>70</v>
      </c>
      <c r="K38" s="1" t="s">
        <v>40</v>
      </c>
      <c r="L38" s="1" t="s">
        <v>25</v>
      </c>
      <c r="M38" s="1" t="s">
        <v>26</v>
      </c>
      <c r="N38" s="9" t="s">
        <v>27</v>
      </c>
      <c r="O38" s="1" t="s">
        <v>28</v>
      </c>
      <c r="P38" s="1" t="s">
        <v>29</v>
      </c>
      <c r="Q38" s="1">
        <v>264</v>
      </c>
      <c r="R38" s="1" t="s">
        <v>30</v>
      </c>
      <c r="S38" s="1" t="s">
        <v>31</v>
      </c>
      <c r="T38" s="1" t="str">
        <f>CONCATENATE("&gt;Usutu virus isolate ",K38,", NS5 gene, partial cds")</f>
        <v>&gt;Usutu virus isolate Africa 3, NS5 gene, partial cds</v>
      </c>
      <c r="U38" s="1" t="s">
        <v>19</v>
      </c>
      <c r="V38" s="5" t="s">
        <v>32</v>
      </c>
      <c r="W38" s="5" t="s">
        <v>251</v>
      </c>
    </row>
    <row r="39" spans="1:23" x14ac:dyDescent="0.3">
      <c r="A39" s="2">
        <v>5533</v>
      </c>
      <c r="B39" s="2" t="s">
        <v>19</v>
      </c>
      <c r="C39" s="10" t="s">
        <v>328</v>
      </c>
      <c r="D39" s="8">
        <v>43334</v>
      </c>
      <c r="E39" s="1">
        <v>2018</v>
      </c>
      <c r="F39" s="9" t="s">
        <v>20</v>
      </c>
      <c r="G39" s="9" t="s">
        <v>21</v>
      </c>
      <c r="H39" s="1">
        <v>27</v>
      </c>
      <c r="I39" s="1" t="s">
        <v>95</v>
      </c>
      <c r="J39" s="1" t="s">
        <v>96</v>
      </c>
      <c r="K39" s="1" t="s">
        <v>40</v>
      </c>
      <c r="L39" s="1" t="s">
        <v>25</v>
      </c>
      <c r="M39" s="1" t="s">
        <v>53</v>
      </c>
      <c r="N39" s="9" t="s">
        <v>54</v>
      </c>
      <c r="O39" s="1" t="s">
        <v>55</v>
      </c>
      <c r="P39" s="1" t="s">
        <v>29</v>
      </c>
      <c r="Q39" s="1">
        <v>1085</v>
      </c>
      <c r="R39" s="1" t="s">
        <v>30</v>
      </c>
      <c r="S39" s="1" t="s">
        <v>68</v>
      </c>
      <c r="T39" s="1" t="str">
        <f>CONCATENATE("&gt;Usutu virus isolate ",K39,", NS5 gene, partial cds")</f>
        <v>&gt;Usutu virus isolate Africa 3, NS5 gene, partial cds</v>
      </c>
      <c r="U39" s="1" t="s">
        <v>19</v>
      </c>
      <c r="V39" s="5" t="s">
        <v>32</v>
      </c>
      <c r="W39" s="5" t="s">
        <v>252</v>
      </c>
    </row>
    <row r="40" spans="1:23" x14ac:dyDescent="0.3">
      <c r="A40" s="2">
        <v>5612</v>
      </c>
      <c r="B40" s="2" t="s">
        <v>19</v>
      </c>
      <c r="C40" s="10" t="s">
        <v>329</v>
      </c>
      <c r="D40" s="8">
        <v>43337</v>
      </c>
      <c r="E40" s="1">
        <v>2018</v>
      </c>
      <c r="F40" s="9" t="s">
        <v>20</v>
      </c>
      <c r="G40" s="9" t="s">
        <v>21</v>
      </c>
      <c r="H40" s="1">
        <v>36</v>
      </c>
      <c r="I40" s="1" t="s">
        <v>97</v>
      </c>
      <c r="J40" s="1" t="s">
        <v>98</v>
      </c>
      <c r="K40" s="1" t="s">
        <v>40</v>
      </c>
      <c r="L40" s="1" t="s">
        <v>25</v>
      </c>
      <c r="M40" s="1" t="s">
        <v>26</v>
      </c>
      <c r="N40" s="9" t="s">
        <v>99</v>
      </c>
      <c r="O40" s="1" t="s">
        <v>100</v>
      </c>
      <c r="P40" s="1" t="s">
        <v>29</v>
      </c>
      <c r="Q40" s="1">
        <v>266</v>
      </c>
      <c r="R40" s="1" t="s">
        <v>30</v>
      </c>
      <c r="S40" s="1" t="s">
        <v>31</v>
      </c>
      <c r="T40" s="1" t="str">
        <f>CONCATENATE("&gt;Usutu virus isolate ",K40,", NS5 gene, partial cds")</f>
        <v>&gt;Usutu virus isolate Africa 3, NS5 gene, partial cds</v>
      </c>
      <c r="U40" s="1" t="s">
        <v>19</v>
      </c>
      <c r="V40" s="5" t="s">
        <v>32</v>
      </c>
      <c r="W40" s="5" t="s">
        <v>253</v>
      </c>
    </row>
    <row r="41" spans="1:23" x14ac:dyDescent="0.3">
      <c r="A41" s="2">
        <v>5615</v>
      </c>
      <c r="B41" s="2" t="s">
        <v>19</v>
      </c>
      <c r="C41" s="10" t="s">
        <v>330</v>
      </c>
      <c r="D41" s="8">
        <v>43338</v>
      </c>
      <c r="E41" s="1">
        <v>2018</v>
      </c>
      <c r="F41" s="9" t="s">
        <v>20</v>
      </c>
      <c r="G41" s="9" t="s">
        <v>21</v>
      </c>
      <c r="H41" s="1">
        <v>86</v>
      </c>
      <c r="I41" s="1" t="s">
        <v>101</v>
      </c>
      <c r="J41" s="1" t="s">
        <v>102</v>
      </c>
      <c r="K41" s="1" t="s">
        <v>40</v>
      </c>
      <c r="L41" s="1" t="s">
        <v>25</v>
      </c>
      <c r="M41" s="1" t="s">
        <v>53</v>
      </c>
      <c r="N41" s="9" t="s">
        <v>54</v>
      </c>
      <c r="O41" s="1" t="s">
        <v>55</v>
      </c>
      <c r="P41" s="1" t="s">
        <v>29</v>
      </c>
      <c r="Q41" s="1">
        <v>266</v>
      </c>
      <c r="R41" s="1" t="s">
        <v>30</v>
      </c>
      <c r="S41" s="1" t="s">
        <v>31</v>
      </c>
      <c r="T41" s="1" t="str">
        <f>CONCATENATE("&gt;Usutu virus isolate ",K41,", NS5 gene, partial cds")</f>
        <v>&gt;Usutu virus isolate Africa 3, NS5 gene, partial cds</v>
      </c>
      <c r="U41" s="1" t="s">
        <v>19</v>
      </c>
      <c r="V41" s="5" t="s">
        <v>32</v>
      </c>
      <c r="W41" s="5" t="s">
        <v>254</v>
      </c>
    </row>
    <row r="42" spans="1:23" x14ac:dyDescent="0.3">
      <c r="A42" s="2">
        <v>5693</v>
      </c>
      <c r="B42" s="2" t="s">
        <v>19</v>
      </c>
      <c r="C42" s="10" t="s">
        <v>331</v>
      </c>
      <c r="D42" s="8" t="s">
        <v>195</v>
      </c>
      <c r="E42" s="1">
        <v>2018</v>
      </c>
      <c r="F42" s="9" t="s">
        <v>20</v>
      </c>
      <c r="G42" s="9" t="s">
        <v>21</v>
      </c>
      <c r="H42" s="1">
        <v>41</v>
      </c>
      <c r="I42" s="1" t="s">
        <v>56</v>
      </c>
      <c r="J42" s="1" t="s">
        <v>57</v>
      </c>
      <c r="K42" s="1" t="s">
        <v>40</v>
      </c>
      <c r="L42" s="1" t="s">
        <v>25</v>
      </c>
      <c r="M42" s="1" t="s">
        <v>53</v>
      </c>
      <c r="N42" s="9" t="s">
        <v>54</v>
      </c>
      <c r="O42" s="1" t="s">
        <v>55</v>
      </c>
      <c r="P42" s="1" t="s">
        <v>29</v>
      </c>
      <c r="Q42" s="1">
        <v>292</v>
      </c>
      <c r="R42" s="1" t="s">
        <v>30</v>
      </c>
      <c r="S42" s="1" t="s">
        <v>31</v>
      </c>
      <c r="T42" s="1" t="str">
        <f>CONCATENATE("&gt;Usutu virus isolate ",K42,", NS5 gene, partial cds")</f>
        <v>&gt;Usutu virus isolate Africa 3, NS5 gene, partial cds</v>
      </c>
      <c r="U42" s="1" t="s">
        <v>19</v>
      </c>
      <c r="V42" s="5" t="s">
        <v>32</v>
      </c>
      <c r="W42" s="5" t="s">
        <v>249</v>
      </c>
    </row>
    <row r="43" spans="1:23" x14ac:dyDescent="0.3">
      <c r="A43" s="2">
        <v>5695</v>
      </c>
      <c r="B43" s="2" t="s">
        <v>19</v>
      </c>
      <c r="C43" s="10" t="s">
        <v>332</v>
      </c>
      <c r="D43" s="8" t="s">
        <v>195</v>
      </c>
      <c r="E43" s="1">
        <v>2018</v>
      </c>
      <c r="F43" s="9" t="s">
        <v>20</v>
      </c>
      <c r="G43" s="9" t="s">
        <v>21</v>
      </c>
      <c r="H43" s="1">
        <v>41</v>
      </c>
      <c r="I43" s="1" t="s">
        <v>56</v>
      </c>
      <c r="J43" s="1" t="s">
        <v>57</v>
      </c>
      <c r="K43" s="1" t="s">
        <v>40</v>
      </c>
      <c r="L43" s="1" t="s">
        <v>25</v>
      </c>
      <c r="M43" s="1" t="s">
        <v>53</v>
      </c>
      <c r="N43" s="9" t="s">
        <v>54</v>
      </c>
      <c r="O43" s="1" t="s">
        <v>55</v>
      </c>
      <c r="P43" s="1" t="s">
        <v>29</v>
      </c>
      <c r="Q43" s="1">
        <v>292</v>
      </c>
      <c r="R43" s="1" t="s">
        <v>30</v>
      </c>
      <c r="S43" s="1" t="s">
        <v>31</v>
      </c>
      <c r="T43" s="1" t="str">
        <f>CONCATENATE("&gt;Usutu virus isolate ",K43,", NS5 gene, partial cds")</f>
        <v>&gt;Usutu virus isolate Africa 3, NS5 gene, partial cds</v>
      </c>
      <c r="U43" s="1" t="s">
        <v>19</v>
      </c>
      <c r="V43" s="5" t="s">
        <v>32</v>
      </c>
      <c r="W43" s="5" t="s">
        <v>255</v>
      </c>
    </row>
    <row r="44" spans="1:23" x14ac:dyDescent="0.3">
      <c r="A44" s="2">
        <v>5700</v>
      </c>
      <c r="B44" s="2" t="s">
        <v>19</v>
      </c>
      <c r="C44" s="10" t="s">
        <v>333</v>
      </c>
      <c r="D44" s="8">
        <v>43335</v>
      </c>
      <c r="E44" s="1">
        <v>2018</v>
      </c>
      <c r="F44" s="9" t="s">
        <v>20</v>
      </c>
      <c r="G44" s="9" t="s">
        <v>21</v>
      </c>
      <c r="H44" s="1">
        <v>41</v>
      </c>
      <c r="I44" s="1" t="s">
        <v>56</v>
      </c>
      <c r="J44" s="1" t="s">
        <v>57</v>
      </c>
      <c r="K44" s="1" t="s">
        <v>40</v>
      </c>
      <c r="L44" s="1" t="s">
        <v>25</v>
      </c>
      <c r="M44" s="1" t="s">
        <v>53</v>
      </c>
      <c r="N44" s="9" t="s">
        <v>54</v>
      </c>
      <c r="O44" s="1" t="s">
        <v>55</v>
      </c>
      <c r="P44" s="1" t="s">
        <v>29</v>
      </c>
      <c r="Q44" s="1">
        <v>292</v>
      </c>
      <c r="R44" s="1" t="s">
        <v>30</v>
      </c>
      <c r="S44" s="1" t="s">
        <v>31</v>
      </c>
      <c r="T44" s="1" t="str">
        <f>CONCATENATE("&gt;Usutu virus isolate ",K44,", NS5 gene, partial cds")</f>
        <v>&gt;Usutu virus isolate Africa 3, NS5 gene, partial cds</v>
      </c>
      <c r="U44" s="1" t="s">
        <v>19</v>
      </c>
      <c r="V44" s="5" t="s">
        <v>32</v>
      </c>
      <c r="W44" s="5" t="s">
        <v>249</v>
      </c>
    </row>
    <row r="45" spans="1:23" x14ac:dyDescent="0.3">
      <c r="A45" s="2">
        <v>5701</v>
      </c>
      <c r="B45" s="2" t="s">
        <v>19</v>
      </c>
      <c r="C45" s="10" t="s">
        <v>334</v>
      </c>
      <c r="D45" s="8">
        <v>43336</v>
      </c>
      <c r="E45" s="1">
        <v>2018</v>
      </c>
      <c r="F45" s="9" t="s">
        <v>20</v>
      </c>
      <c r="G45" s="9" t="s">
        <v>21</v>
      </c>
      <c r="H45" s="1">
        <v>89</v>
      </c>
      <c r="I45" s="1" t="s">
        <v>103</v>
      </c>
      <c r="J45" s="1" t="s">
        <v>104</v>
      </c>
      <c r="K45" s="1" t="s">
        <v>40</v>
      </c>
      <c r="L45" s="1" t="s">
        <v>25</v>
      </c>
      <c r="M45" s="1" t="s">
        <v>26</v>
      </c>
      <c r="N45" s="9" t="s">
        <v>27</v>
      </c>
      <c r="O45" s="1" t="s">
        <v>28</v>
      </c>
      <c r="P45" s="1" t="s">
        <v>29</v>
      </c>
      <c r="Q45" s="1">
        <v>1085</v>
      </c>
      <c r="R45" s="1" t="s">
        <v>30</v>
      </c>
      <c r="S45" s="1" t="s">
        <v>68</v>
      </c>
      <c r="T45" s="1" t="str">
        <f>CONCATENATE("&gt;Usutu virus isolate ",K45,", NS5 gene, partial cds")</f>
        <v>&gt;Usutu virus isolate Africa 3, NS5 gene, partial cds</v>
      </c>
      <c r="U45" s="1" t="s">
        <v>19</v>
      </c>
      <c r="V45" s="5" t="s">
        <v>32</v>
      </c>
      <c r="W45" s="5" t="s">
        <v>256</v>
      </c>
    </row>
    <row r="46" spans="1:23" x14ac:dyDescent="0.3">
      <c r="A46" s="2">
        <v>5917</v>
      </c>
      <c r="B46" s="2" t="s">
        <v>19</v>
      </c>
      <c r="C46" s="10" t="s">
        <v>335</v>
      </c>
      <c r="D46" s="8">
        <v>43346</v>
      </c>
      <c r="E46" s="1">
        <v>2018</v>
      </c>
      <c r="F46" s="9" t="s">
        <v>20</v>
      </c>
      <c r="G46" s="9" t="s">
        <v>21</v>
      </c>
      <c r="H46" s="1">
        <v>67</v>
      </c>
      <c r="I46" s="1" t="s">
        <v>105</v>
      </c>
      <c r="J46" s="1" t="s">
        <v>106</v>
      </c>
      <c r="K46" s="1" t="s">
        <v>35</v>
      </c>
      <c r="L46" s="1" t="s">
        <v>25</v>
      </c>
      <c r="M46" s="1" t="s">
        <v>53</v>
      </c>
      <c r="N46" s="9" t="s">
        <v>54</v>
      </c>
      <c r="O46" s="1" t="s">
        <v>55</v>
      </c>
      <c r="P46" s="1" t="s">
        <v>29</v>
      </c>
      <c r="Q46" s="1">
        <v>1085</v>
      </c>
      <c r="R46" s="1" t="s">
        <v>30</v>
      </c>
      <c r="S46" s="1" t="s">
        <v>68</v>
      </c>
      <c r="T46" s="1" t="str">
        <f>CONCATENATE("&gt;Usutu virus isolate ",K46,", NS5 gene, partial cds")</f>
        <v>&gt;Usutu virus isolate Europe 3, NS5 gene, partial cds</v>
      </c>
      <c r="U46" s="1" t="s">
        <v>19</v>
      </c>
      <c r="V46" s="5" t="s">
        <v>32</v>
      </c>
      <c r="W46" s="5" t="s">
        <v>257</v>
      </c>
    </row>
    <row r="47" spans="1:23" x14ac:dyDescent="0.3">
      <c r="A47" s="2">
        <v>5925</v>
      </c>
      <c r="B47" s="2" t="s">
        <v>19</v>
      </c>
      <c r="C47" s="10" t="s">
        <v>336</v>
      </c>
      <c r="D47" s="8">
        <v>43345</v>
      </c>
      <c r="E47" s="1">
        <v>2018</v>
      </c>
      <c r="F47" s="9" t="s">
        <v>20</v>
      </c>
      <c r="G47" s="9" t="s">
        <v>21</v>
      </c>
      <c r="H47" s="1">
        <v>33</v>
      </c>
      <c r="I47" s="1" t="s">
        <v>107</v>
      </c>
      <c r="J47" s="1" t="s">
        <v>108</v>
      </c>
      <c r="K47" s="1" t="s">
        <v>40</v>
      </c>
      <c r="L47" s="1" t="s">
        <v>25</v>
      </c>
      <c r="M47" s="1" t="s">
        <v>26</v>
      </c>
      <c r="N47" s="9" t="s">
        <v>27</v>
      </c>
      <c r="O47" s="1" t="s">
        <v>28</v>
      </c>
      <c r="P47" s="1" t="s">
        <v>29</v>
      </c>
      <c r="Q47" s="1">
        <v>292</v>
      </c>
      <c r="R47" s="1" t="s">
        <v>30</v>
      </c>
      <c r="S47" s="1" t="s">
        <v>31</v>
      </c>
      <c r="T47" s="1" t="str">
        <f>CONCATENATE("&gt;Usutu virus isolate ",K47,", NS5 gene, partial cds")</f>
        <v>&gt;Usutu virus isolate Africa 3, NS5 gene, partial cds</v>
      </c>
      <c r="U47" s="1" t="s">
        <v>19</v>
      </c>
      <c r="V47" s="5" t="s">
        <v>32</v>
      </c>
      <c r="W47" s="5" t="s">
        <v>249</v>
      </c>
    </row>
    <row r="48" spans="1:23" x14ac:dyDescent="0.3">
      <c r="A48" s="2">
        <v>5930</v>
      </c>
      <c r="B48" s="2" t="s">
        <v>19</v>
      </c>
      <c r="C48" s="10" t="s">
        <v>337</v>
      </c>
      <c r="D48" s="8">
        <v>43335</v>
      </c>
      <c r="E48" s="1">
        <v>2018</v>
      </c>
      <c r="F48" s="9" t="s">
        <v>20</v>
      </c>
      <c r="G48" s="9" t="s">
        <v>21</v>
      </c>
      <c r="H48" s="1">
        <v>33</v>
      </c>
      <c r="I48" s="1" t="s">
        <v>109</v>
      </c>
      <c r="J48" s="1" t="s">
        <v>110</v>
      </c>
      <c r="K48" s="1" t="s">
        <v>40</v>
      </c>
      <c r="L48" s="1" t="s">
        <v>25</v>
      </c>
      <c r="M48" s="1" t="s">
        <v>26</v>
      </c>
      <c r="N48" s="9" t="s">
        <v>27</v>
      </c>
      <c r="O48" s="1" t="s">
        <v>28</v>
      </c>
      <c r="P48" s="1" t="s">
        <v>29</v>
      </c>
      <c r="Q48" s="1">
        <v>292</v>
      </c>
      <c r="R48" s="1" t="s">
        <v>30</v>
      </c>
      <c r="S48" s="1" t="s">
        <v>31</v>
      </c>
      <c r="T48" s="1" t="str">
        <f>CONCATENATE("&gt;Usutu virus isolate ",K48,", NS5 gene, partial cds")</f>
        <v>&gt;Usutu virus isolate Africa 3, NS5 gene, partial cds</v>
      </c>
      <c r="U48" s="1" t="s">
        <v>19</v>
      </c>
      <c r="V48" s="5" t="s">
        <v>32</v>
      </c>
      <c r="W48" s="5" t="s">
        <v>258</v>
      </c>
    </row>
    <row r="49" spans="1:23" x14ac:dyDescent="0.3">
      <c r="A49" s="2">
        <v>5932</v>
      </c>
      <c r="B49" s="2" t="s">
        <v>19</v>
      </c>
      <c r="C49" s="10" t="s">
        <v>338</v>
      </c>
      <c r="D49" s="8">
        <v>43345</v>
      </c>
      <c r="E49" s="1">
        <v>2018</v>
      </c>
      <c r="F49" s="9" t="s">
        <v>20</v>
      </c>
      <c r="G49" s="9" t="s">
        <v>21</v>
      </c>
      <c r="H49" s="1">
        <v>30</v>
      </c>
      <c r="I49" s="1" t="s">
        <v>111</v>
      </c>
      <c r="J49" s="1" t="s">
        <v>112</v>
      </c>
      <c r="K49" s="1" t="s">
        <v>40</v>
      </c>
      <c r="L49" s="1" t="s">
        <v>25</v>
      </c>
      <c r="M49" s="1" t="s">
        <v>26</v>
      </c>
      <c r="N49" s="9" t="s">
        <v>27</v>
      </c>
      <c r="O49" s="1" t="s">
        <v>28</v>
      </c>
      <c r="P49" s="1" t="s">
        <v>29</v>
      </c>
      <c r="Q49" s="1">
        <v>292</v>
      </c>
      <c r="R49" s="1" t="s">
        <v>30</v>
      </c>
      <c r="S49" s="1" t="s">
        <v>31</v>
      </c>
      <c r="T49" s="1" t="str">
        <f>CONCATENATE("&gt;Usutu virus isolate ",K49,", NS5 gene, partial cds")</f>
        <v>&gt;Usutu virus isolate Africa 3, NS5 gene, partial cds</v>
      </c>
      <c r="U49" s="1" t="s">
        <v>19</v>
      </c>
      <c r="V49" s="5" t="s">
        <v>32</v>
      </c>
      <c r="W49" s="5" t="s">
        <v>259</v>
      </c>
    </row>
    <row r="50" spans="1:23" x14ac:dyDescent="0.3">
      <c r="A50" s="2">
        <v>5940</v>
      </c>
      <c r="B50" s="2" t="s">
        <v>19</v>
      </c>
      <c r="C50" s="10" t="s">
        <v>339</v>
      </c>
      <c r="D50" s="8" t="s">
        <v>196</v>
      </c>
      <c r="E50" s="1">
        <v>2018</v>
      </c>
      <c r="F50" s="9" t="s">
        <v>20</v>
      </c>
      <c r="G50" s="9" t="s">
        <v>21</v>
      </c>
      <c r="H50" s="1">
        <v>18</v>
      </c>
      <c r="I50" s="1" t="s">
        <v>89</v>
      </c>
      <c r="J50" s="1" t="s">
        <v>90</v>
      </c>
      <c r="K50" s="1" t="s">
        <v>40</v>
      </c>
      <c r="L50" s="1" t="s">
        <v>25</v>
      </c>
      <c r="M50" s="1" t="s">
        <v>26</v>
      </c>
      <c r="N50" s="9" t="s">
        <v>27</v>
      </c>
      <c r="O50" s="1" t="s">
        <v>28</v>
      </c>
      <c r="P50" s="1" t="s">
        <v>29</v>
      </c>
      <c r="Q50" s="1">
        <v>292</v>
      </c>
      <c r="R50" s="1" t="s">
        <v>30</v>
      </c>
      <c r="S50" s="1" t="s">
        <v>31</v>
      </c>
      <c r="T50" s="1" t="str">
        <f>CONCATENATE("&gt;Usutu virus isolate ",K50,", NS5 gene, partial cds")</f>
        <v>&gt;Usutu virus isolate Africa 3, NS5 gene, partial cds</v>
      </c>
      <c r="U50" s="1" t="s">
        <v>19</v>
      </c>
      <c r="V50" s="5" t="s">
        <v>32</v>
      </c>
      <c r="W50" s="5" t="s">
        <v>258</v>
      </c>
    </row>
    <row r="51" spans="1:23" x14ac:dyDescent="0.3">
      <c r="A51" s="2">
        <v>5943</v>
      </c>
      <c r="B51" s="2" t="s">
        <v>19</v>
      </c>
      <c r="C51" s="10" t="s">
        <v>340</v>
      </c>
      <c r="D51" s="8" t="s">
        <v>196</v>
      </c>
      <c r="E51" s="1">
        <v>2018</v>
      </c>
      <c r="F51" s="9" t="s">
        <v>20</v>
      </c>
      <c r="G51" s="9" t="s">
        <v>21</v>
      </c>
      <c r="H51" s="1">
        <v>18</v>
      </c>
      <c r="I51" s="1" t="s">
        <v>89</v>
      </c>
      <c r="J51" s="1" t="s">
        <v>90</v>
      </c>
      <c r="K51" s="1" t="s">
        <v>40</v>
      </c>
      <c r="L51" s="1" t="s">
        <v>25</v>
      </c>
      <c r="M51" s="1" t="s">
        <v>26</v>
      </c>
      <c r="N51" s="9" t="s">
        <v>27</v>
      </c>
      <c r="O51" s="1" t="s">
        <v>28</v>
      </c>
      <c r="P51" s="1" t="s">
        <v>29</v>
      </c>
      <c r="Q51" s="1">
        <v>292</v>
      </c>
      <c r="R51" s="1" t="s">
        <v>30</v>
      </c>
      <c r="S51" s="1" t="s">
        <v>31</v>
      </c>
      <c r="T51" s="1" t="str">
        <f>CONCATENATE("&gt;Usutu virus isolate ",K51,", NS5 gene, partial cds")</f>
        <v>&gt;Usutu virus isolate Africa 3, NS5 gene, partial cds</v>
      </c>
      <c r="U51" s="1" t="s">
        <v>19</v>
      </c>
      <c r="V51" s="5" t="s">
        <v>32</v>
      </c>
      <c r="W51" s="5" t="s">
        <v>260</v>
      </c>
    </row>
    <row r="52" spans="1:23" x14ac:dyDescent="0.3">
      <c r="A52" s="2">
        <v>5957</v>
      </c>
      <c r="B52" s="2" t="s">
        <v>19</v>
      </c>
      <c r="C52" s="10" t="s">
        <v>341</v>
      </c>
      <c r="D52" s="8">
        <v>43343</v>
      </c>
      <c r="E52" s="1">
        <v>2018</v>
      </c>
      <c r="F52" s="9" t="s">
        <v>20</v>
      </c>
      <c r="G52" s="9" t="s">
        <v>21</v>
      </c>
      <c r="H52" s="1">
        <v>36</v>
      </c>
      <c r="I52" s="1" t="s">
        <v>113</v>
      </c>
      <c r="J52" s="1" t="s">
        <v>114</v>
      </c>
      <c r="K52" s="1" t="s">
        <v>40</v>
      </c>
      <c r="L52" s="1" t="s">
        <v>25</v>
      </c>
      <c r="M52" s="1" t="s">
        <v>26</v>
      </c>
      <c r="N52" s="9" t="s">
        <v>27</v>
      </c>
      <c r="O52" s="1" t="s">
        <v>28</v>
      </c>
      <c r="P52" s="1" t="s">
        <v>29</v>
      </c>
      <c r="Q52" s="1">
        <v>292</v>
      </c>
      <c r="R52" s="1" t="s">
        <v>30</v>
      </c>
      <c r="S52" s="1" t="s">
        <v>31</v>
      </c>
      <c r="T52" s="1" t="str">
        <f>CONCATENATE("&gt;Usutu virus isolate ",K52,", NS5 gene, partial cds")</f>
        <v>&gt;Usutu virus isolate Africa 3, NS5 gene, partial cds</v>
      </c>
      <c r="U52" s="1" t="s">
        <v>19</v>
      </c>
      <c r="V52" s="5" t="s">
        <v>32</v>
      </c>
      <c r="W52" s="5" t="s">
        <v>258</v>
      </c>
    </row>
    <row r="53" spans="1:23" x14ac:dyDescent="0.3">
      <c r="A53" s="2">
        <v>5997</v>
      </c>
      <c r="B53" s="2" t="s">
        <v>19</v>
      </c>
      <c r="C53" s="10" t="s">
        <v>342</v>
      </c>
      <c r="D53" s="8" t="s">
        <v>261</v>
      </c>
      <c r="E53" s="1">
        <v>2018</v>
      </c>
      <c r="F53" s="9" t="s">
        <v>20</v>
      </c>
      <c r="G53" s="9" t="s">
        <v>21</v>
      </c>
      <c r="H53" s="1" t="s">
        <v>262</v>
      </c>
      <c r="I53" s="1" t="s">
        <v>263</v>
      </c>
      <c r="J53" s="1" t="s">
        <v>264</v>
      </c>
      <c r="K53" s="1" t="s">
        <v>40</v>
      </c>
      <c r="L53" s="1" t="s">
        <v>25</v>
      </c>
      <c r="M53" s="1" t="s">
        <v>26</v>
      </c>
      <c r="N53" s="9" t="s">
        <v>27</v>
      </c>
      <c r="O53" s="1" t="s">
        <v>28</v>
      </c>
      <c r="P53" s="1" t="s">
        <v>29</v>
      </c>
      <c r="Q53" s="1">
        <v>292</v>
      </c>
      <c r="R53" s="1" t="s">
        <v>30</v>
      </c>
      <c r="S53" s="1" t="s">
        <v>31</v>
      </c>
      <c r="T53" s="1" t="str">
        <f>CONCATENATE("&gt;Usutu virus isolate ",K53,", NS5 gene, partial cds")</f>
        <v>&gt;Usutu virus isolate Africa 3, NS5 gene, partial cds</v>
      </c>
      <c r="U53" s="1" t="s">
        <v>19</v>
      </c>
      <c r="V53" s="5" t="s">
        <v>32</v>
      </c>
      <c r="W53" s="5" t="s">
        <v>265</v>
      </c>
    </row>
    <row r="54" spans="1:23" x14ac:dyDescent="0.3">
      <c r="A54" s="2">
        <v>6000</v>
      </c>
      <c r="B54" s="2" t="s">
        <v>19</v>
      </c>
      <c r="C54" s="10" t="s">
        <v>343</v>
      </c>
      <c r="D54" s="8">
        <v>43343</v>
      </c>
      <c r="E54" s="1">
        <v>2018</v>
      </c>
      <c r="F54" s="9" t="s">
        <v>20</v>
      </c>
      <c r="G54" s="9" t="s">
        <v>21</v>
      </c>
      <c r="H54" s="1">
        <v>54</v>
      </c>
      <c r="I54" s="1" t="s">
        <v>115</v>
      </c>
      <c r="J54" s="1" t="s">
        <v>116</v>
      </c>
      <c r="K54" s="1" t="s">
        <v>40</v>
      </c>
      <c r="L54" s="1" t="s">
        <v>25</v>
      </c>
      <c r="M54" s="1" t="s">
        <v>26</v>
      </c>
      <c r="N54" s="9" t="s">
        <v>27</v>
      </c>
      <c r="O54" s="1" t="s">
        <v>28</v>
      </c>
      <c r="P54" s="1" t="s">
        <v>29</v>
      </c>
      <c r="Q54" s="1">
        <v>1085</v>
      </c>
      <c r="R54" s="1" t="s">
        <v>30</v>
      </c>
      <c r="S54" s="1" t="s">
        <v>409</v>
      </c>
      <c r="T54" s="1" t="str">
        <f>CONCATENATE("&gt;Usutu virus isolate ",K54,", NS5 gene, partial cds")</f>
        <v>&gt;Usutu virus isolate Africa 3, NS5 gene, partial cds</v>
      </c>
      <c r="U54" s="1" t="s">
        <v>19</v>
      </c>
      <c r="V54" s="5" t="s">
        <v>32</v>
      </c>
      <c r="W54" s="5" t="s">
        <v>266</v>
      </c>
    </row>
    <row r="55" spans="1:23" x14ac:dyDescent="0.3">
      <c r="A55" s="2">
        <v>6001</v>
      </c>
      <c r="B55" s="2" t="s">
        <v>19</v>
      </c>
      <c r="C55" s="10" t="s">
        <v>344</v>
      </c>
      <c r="D55" s="8">
        <v>43347</v>
      </c>
      <c r="E55" s="1">
        <v>2018</v>
      </c>
      <c r="F55" s="9" t="s">
        <v>20</v>
      </c>
      <c r="G55" s="9" t="s">
        <v>21</v>
      </c>
      <c r="H55" s="1">
        <v>54</v>
      </c>
      <c r="I55" s="1" t="s">
        <v>117</v>
      </c>
      <c r="J55" s="1" t="s">
        <v>118</v>
      </c>
      <c r="K55" s="1" t="s">
        <v>40</v>
      </c>
      <c r="L55" s="1" t="s">
        <v>25</v>
      </c>
      <c r="M55" s="1" t="s">
        <v>26</v>
      </c>
      <c r="N55" s="9" t="s">
        <v>27</v>
      </c>
      <c r="O55" s="1" t="s">
        <v>28</v>
      </c>
      <c r="P55" s="1" t="s">
        <v>29</v>
      </c>
      <c r="Q55" s="1">
        <v>292</v>
      </c>
      <c r="R55" s="1" t="s">
        <v>30</v>
      </c>
      <c r="S55" s="1" t="s">
        <v>31</v>
      </c>
      <c r="T55" s="1" t="str">
        <f>CONCATENATE("&gt;Usutu virus isolate ",K55,", NS5 gene, partial cds")</f>
        <v>&gt;Usutu virus isolate Africa 3, NS5 gene, partial cds</v>
      </c>
      <c r="U55" s="1" t="s">
        <v>19</v>
      </c>
      <c r="V55" s="5" t="s">
        <v>32</v>
      </c>
      <c r="W55" s="5" t="s">
        <v>258</v>
      </c>
    </row>
    <row r="56" spans="1:23" x14ac:dyDescent="0.3">
      <c r="A56" s="2">
        <v>6005</v>
      </c>
      <c r="B56" s="2" t="s">
        <v>19</v>
      </c>
      <c r="C56" s="10" t="s">
        <v>345</v>
      </c>
      <c r="D56" s="8">
        <v>43347</v>
      </c>
      <c r="E56" s="1">
        <v>2018</v>
      </c>
      <c r="F56" s="9" t="s">
        <v>20</v>
      </c>
      <c r="G56" s="9" t="s">
        <v>21</v>
      </c>
      <c r="H56" s="1">
        <v>43</v>
      </c>
      <c r="I56" s="1" t="s">
        <v>267</v>
      </c>
      <c r="J56" s="1" t="s">
        <v>268</v>
      </c>
      <c r="K56" s="1" t="s">
        <v>24</v>
      </c>
      <c r="L56" s="1" t="s">
        <v>25</v>
      </c>
      <c r="M56" s="1" t="s">
        <v>53</v>
      </c>
      <c r="N56" s="9" t="s">
        <v>54</v>
      </c>
      <c r="O56" s="1" t="s">
        <v>55</v>
      </c>
      <c r="P56" s="1" t="s">
        <v>29</v>
      </c>
      <c r="Q56" s="1">
        <v>292</v>
      </c>
      <c r="R56" s="1" t="s">
        <v>30</v>
      </c>
      <c r="S56" s="1" t="s">
        <v>31</v>
      </c>
      <c r="T56" s="1" t="str">
        <f>CONCATENATE("&gt;Usutu virus isolate ",K56,", NS5 gene, partial cds")</f>
        <v>&gt;Usutu virus isolate Africa 2, NS5 gene, partial cds</v>
      </c>
      <c r="U56" s="1" t="s">
        <v>19</v>
      </c>
      <c r="V56" s="5" t="s">
        <v>32</v>
      </c>
      <c r="W56" s="5" t="s">
        <v>269</v>
      </c>
    </row>
    <row r="57" spans="1:23" x14ac:dyDescent="0.3">
      <c r="A57" s="2">
        <v>6006</v>
      </c>
      <c r="B57" s="2" t="s">
        <v>19</v>
      </c>
      <c r="C57" s="10" t="s">
        <v>346</v>
      </c>
      <c r="D57" s="8">
        <v>43348</v>
      </c>
      <c r="E57" s="1">
        <v>2018</v>
      </c>
      <c r="F57" s="9" t="s">
        <v>20</v>
      </c>
      <c r="G57" s="9" t="s">
        <v>21</v>
      </c>
      <c r="H57" s="1">
        <v>73</v>
      </c>
      <c r="I57" s="1" t="s">
        <v>270</v>
      </c>
      <c r="J57" s="1" t="s">
        <v>271</v>
      </c>
      <c r="K57" s="1" t="s">
        <v>24</v>
      </c>
      <c r="L57" s="1" t="s">
        <v>25</v>
      </c>
      <c r="M57" s="1" t="s">
        <v>26</v>
      </c>
      <c r="N57" s="9" t="s">
        <v>27</v>
      </c>
      <c r="O57" s="1" t="s">
        <v>28</v>
      </c>
      <c r="P57" s="1" t="s">
        <v>29</v>
      </c>
      <c r="Q57" s="1">
        <v>292</v>
      </c>
      <c r="R57" s="1" t="s">
        <v>30</v>
      </c>
      <c r="S57" s="1" t="s">
        <v>31</v>
      </c>
      <c r="T57" s="1" t="str">
        <f>CONCATENATE("&gt;Usutu virus isolate ",K57,", NS5 gene, partial cds")</f>
        <v>&gt;Usutu virus isolate Africa 2, NS5 gene, partial cds</v>
      </c>
      <c r="U57" s="1" t="s">
        <v>19</v>
      </c>
      <c r="V57" s="5" t="s">
        <v>32</v>
      </c>
      <c r="W57" s="5" t="s">
        <v>269</v>
      </c>
    </row>
    <row r="58" spans="1:23" x14ac:dyDescent="0.3">
      <c r="A58" s="2">
        <v>6012</v>
      </c>
      <c r="B58" s="2" t="s">
        <v>19</v>
      </c>
      <c r="C58" s="10" t="s">
        <v>347</v>
      </c>
      <c r="D58" s="8">
        <v>43339</v>
      </c>
      <c r="E58" s="1">
        <v>2018</v>
      </c>
      <c r="F58" s="9" t="s">
        <v>20</v>
      </c>
      <c r="G58" s="9" t="s">
        <v>21</v>
      </c>
      <c r="H58" s="1" t="s">
        <v>119</v>
      </c>
      <c r="I58" s="1" t="s">
        <v>120</v>
      </c>
      <c r="J58" s="1" t="s">
        <v>121</v>
      </c>
      <c r="K58" s="1" t="s">
        <v>40</v>
      </c>
      <c r="L58" s="1" t="s">
        <v>25</v>
      </c>
      <c r="M58" s="1" t="s">
        <v>26</v>
      </c>
      <c r="N58" s="9" t="s">
        <v>27</v>
      </c>
      <c r="O58" s="1" t="s">
        <v>28</v>
      </c>
      <c r="P58" s="1" t="s">
        <v>29</v>
      </c>
      <c r="Q58" s="1">
        <v>254</v>
      </c>
      <c r="R58" s="1" t="s">
        <v>30</v>
      </c>
      <c r="S58" s="1" t="s">
        <v>31</v>
      </c>
      <c r="T58" s="1" t="str">
        <f>CONCATENATE("&gt;Usutu virus isolate ",K58,", NS5 gene, partial cds")</f>
        <v>&gt;Usutu virus isolate Africa 3, NS5 gene, partial cds</v>
      </c>
      <c r="U58" s="1" t="s">
        <v>19</v>
      </c>
      <c r="V58" s="5" t="s">
        <v>32</v>
      </c>
      <c r="W58" s="5" t="s">
        <v>272</v>
      </c>
    </row>
    <row r="59" spans="1:23" x14ac:dyDescent="0.3">
      <c r="A59" s="2">
        <v>6041</v>
      </c>
      <c r="B59" s="2" t="s">
        <v>19</v>
      </c>
      <c r="C59" s="10" t="s">
        <v>348</v>
      </c>
      <c r="D59" s="8">
        <v>43342</v>
      </c>
      <c r="E59" s="1">
        <v>2018</v>
      </c>
      <c r="F59" s="9" t="s">
        <v>20</v>
      </c>
      <c r="G59" s="9" t="s">
        <v>21</v>
      </c>
      <c r="H59" s="1">
        <v>56</v>
      </c>
      <c r="I59" s="1" t="s">
        <v>122</v>
      </c>
      <c r="J59" s="1" t="s">
        <v>123</v>
      </c>
      <c r="K59" s="1" t="s">
        <v>40</v>
      </c>
      <c r="L59" s="1" t="s">
        <v>25</v>
      </c>
      <c r="M59" s="1" t="s">
        <v>26</v>
      </c>
      <c r="N59" s="9" t="s">
        <v>27</v>
      </c>
      <c r="O59" s="1" t="s">
        <v>28</v>
      </c>
      <c r="P59" s="1" t="s">
        <v>29</v>
      </c>
      <c r="Q59" s="1">
        <v>292</v>
      </c>
      <c r="R59" s="1" t="s">
        <v>30</v>
      </c>
      <c r="S59" s="1" t="s">
        <v>31</v>
      </c>
      <c r="T59" s="1" t="str">
        <f>CONCATENATE("&gt;Usutu virus isolate ",K59,", NS5 gene, partial cds")</f>
        <v>&gt;Usutu virus isolate Africa 3, NS5 gene, partial cds</v>
      </c>
      <c r="U59" s="1" t="s">
        <v>19</v>
      </c>
      <c r="V59" s="5" t="s">
        <v>32</v>
      </c>
      <c r="W59" s="5" t="s">
        <v>258</v>
      </c>
    </row>
    <row r="60" spans="1:23" x14ac:dyDescent="0.3">
      <c r="A60" s="2">
        <v>6042</v>
      </c>
      <c r="B60" s="2" t="s">
        <v>19</v>
      </c>
      <c r="C60" s="10" t="s">
        <v>349</v>
      </c>
      <c r="D60" s="8">
        <v>43345</v>
      </c>
      <c r="E60" s="1">
        <v>2018</v>
      </c>
      <c r="F60" s="9" t="s">
        <v>20</v>
      </c>
      <c r="G60" s="9" t="s">
        <v>21</v>
      </c>
      <c r="H60" s="1">
        <v>56</v>
      </c>
      <c r="I60" s="1" t="s">
        <v>124</v>
      </c>
      <c r="J60" s="1" t="s">
        <v>125</v>
      </c>
      <c r="K60" s="1" t="s">
        <v>40</v>
      </c>
      <c r="L60" s="1" t="s">
        <v>25</v>
      </c>
      <c r="M60" s="1" t="s">
        <v>26</v>
      </c>
      <c r="N60" s="9" t="s">
        <v>27</v>
      </c>
      <c r="O60" s="1" t="s">
        <v>28</v>
      </c>
      <c r="P60" s="1" t="s">
        <v>29</v>
      </c>
      <c r="Q60" s="1">
        <v>292</v>
      </c>
      <c r="R60" s="1" t="s">
        <v>30</v>
      </c>
      <c r="S60" s="1" t="s">
        <v>31</v>
      </c>
      <c r="T60" s="1" t="str">
        <f>CONCATENATE("&gt;Usutu virus isolate ",K60,", NS5 gene, partial cds")</f>
        <v>&gt;Usutu virus isolate Africa 3, NS5 gene, partial cds</v>
      </c>
      <c r="U60" s="1" t="s">
        <v>19</v>
      </c>
      <c r="V60" s="5" t="s">
        <v>32</v>
      </c>
      <c r="W60" s="5" t="s">
        <v>273</v>
      </c>
    </row>
    <row r="61" spans="1:23" x14ac:dyDescent="0.3">
      <c r="A61" s="2">
        <v>6043</v>
      </c>
      <c r="B61" s="2" t="s">
        <v>19</v>
      </c>
      <c r="C61" s="10" t="s">
        <v>350</v>
      </c>
      <c r="D61" s="8">
        <v>43347</v>
      </c>
      <c r="E61" s="1">
        <v>2018</v>
      </c>
      <c r="F61" s="9" t="s">
        <v>20</v>
      </c>
      <c r="G61" s="9" t="s">
        <v>21</v>
      </c>
      <c r="H61" s="1">
        <v>56</v>
      </c>
      <c r="I61" s="1" t="s">
        <v>124</v>
      </c>
      <c r="J61" s="1" t="s">
        <v>125</v>
      </c>
      <c r="K61" s="1" t="s">
        <v>40</v>
      </c>
      <c r="L61" s="1" t="s">
        <v>25</v>
      </c>
      <c r="M61" s="1" t="s">
        <v>26</v>
      </c>
      <c r="N61" s="9" t="s">
        <v>27</v>
      </c>
      <c r="O61" s="1" t="s">
        <v>28</v>
      </c>
      <c r="P61" s="1" t="s">
        <v>29</v>
      </c>
      <c r="Q61" s="1">
        <v>292</v>
      </c>
      <c r="R61" s="1" t="s">
        <v>30</v>
      </c>
      <c r="S61" s="1" t="s">
        <v>31</v>
      </c>
      <c r="T61" s="1" t="str">
        <f>CONCATENATE("&gt;Usutu virus isolate ",K61,", NS5 gene, partial cds")</f>
        <v>&gt;Usutu virus isolate Africa 3, NS5 gene, partial cds</v>
      </c>
      <c r="U61" s="1" t="s">
        <v>19</v>
      </c>
      <c r="V61" s="5" t="s">
        <v>32</v>
      </c>
      <c r="W61" s="5" t="s">
        <v>258</v>
      </c>
    </row>
    <row r="62" spans="1:23" x14ac:dyDescent="0.3">
      <c r="A62" s="2">
        <v>6044</v>
      </c>
      <c r="B62" s="2" t="s">
        <v>19</v>
      </c>
      <c r="C62" s="10" t="s">
        <v>351</v>
      </c>
      <c r="D62" s="8">
        <v>43348</v>
      </c>
      <c r="E62" s="1">
        <v>2018</v>
      </c>
      <c r="F62" s="9" t="s">
        <v>20</v>
      </c>
      <c r="G62" s="9" t="s">
        <v>21</v>
      </c>
      <c r="H62" s="1">
        <v>56</v>
      </c>
      <c r="I62" s="1" t="s">
        <v>126</v>
      </c>
      <c r="J62" s="1" t="s">
        <v>127</v>
      </c>
      <c r="K62" s="1" t="s">
        <v>40</v>
      </c>
      <c r="L62" s="1" t="s">
        <v>25</v>
      </c>
      <c r="M62" s="1" t="s">
        <v>26</v>
      </c>
      <c r="N62" s="9" t="s">
        <v>27</v>
      </c>
      <c r="O62" s="1" t="s">
        <v>28</v>
      </c>
      <c r="P62" s="1" t="s">
        <v>29</v>
      </c>
      <c r="Q62" s="1">
        <v>292</v>
      </c>
      <c r="R62" s="1" t="s">
        <v>30</v>
      </c>
      <c r="S62" s="1" t="s">
        <v>31</v>
      </c>
      <c r="T62" s="1" t="str">
        <f>CONCATENATE("&gt;Usutu virus isolate ",K62,", NS5 gene, partial cds")</f>
        <v>&gt;Usutu virus isolate Africa 3, NS5 gene, partial cds</v>
      </c>
      <c r="U62" s="1" t="s">
        <v>19</v>
      </c>
      <c r="V62" s="5" t="s">
        <v>32</v>
      </c>
      <c r="W62" s="5" t="s">
        <v>246</v>
      </c>
    </row>
    <row r="63" spans="1:23" x14ac:dyDescent="0.3">
      <c r="A63" s="2">
        <v>6045</v>
      </c>
      <c r="B63" s="2" t="s">
        <v>19</v>
      </c>
      <c r="C63" s="10" t="s">
        <v>352</v>
      </c>
      <c r="D63" s="8">
        <v>43348</v>
      </c>
      <c r="E63" s="1">
        <v>2018</v>
      </c>
      <c r="F63" s="9" t="s">
        <v>20</v>
      </c>
      <c r="G63" s="9" t="s">
        <v>21</v>
      </c>
      <c r="H63" s="1">
        <v>56</v>
      </c>
      <c r="I63" s="1" t="s">
        <v>126</v>
      </c>
      <c r="J63" s="1" t="s">
        <v>127</v>
      </c>
      <c r="K63" s="1" t="s">
        <v>40</v>
      </c>
      <c r="L63" s="1" t="s">
        <v>25</v>
      </c>
      <c r="M63" s="1" t="s">
        <v>26</v>
      </c>
      <c r="N63" s="9" t="s">
        <v>27</v>
      </c>
      <c r="O63" s="1" t="s">
        <v>28</v>
      </c>
      <c r="P63" s="1" t="s">
        <v>29</v>
      </c>
      <c r="Q63" s="1">
        <v>292</v>
      </c>
      <c r="R63" s="1" t="s">
        <v>30</v>
      </c>
      <c r="S63" s="1" t="s">
        <v>31</v>
      </c>
      <c r="T63" s="1" t="str">
        <f>CONCATENATE("&gt;Usutu virus isolate ",K63,", NS5 gene, partial cds")</f>
        <v>&gt;Usutu virus isolate Africa 3, NS5 gene, partial cds</v>
      </c>
      <c r="U63" s="1" t="s">
        <v>19</v>
      </c>
      <c r="V63" s="5" t="s">
        <v>32</v>
      </c>
      <c r="W63" s="5" t="s">
        <v>246</v>
      </c>
    </row>
    <row r="64" spans="1:23" x14ac:dyDescent="0.3">
      <c r="A64" s="2">
        <v>6046</v>
      </c>
      <c r="B64" s="2" t="s">
        <v>19</v>
      </c>
      <c r="C64" s="10" t="s">
        <v>353</v>
      </c>
      <c r="D64" s="8">
        <v>43349</v>
      </c>
      <c r="E64" s="1">
        <v>2018</v>
      </c>
      <c r="F64" s="9" t="s">
        <v>20</v>
      </c>
      <c r="G64" s="9" t="s">
        <v>21</v>
      </c>
      <c r="H64" s="1">
        <v>37</v>
      </c>
      <c r="I64" s="1" t="s">
        <v>128</v>
      </c>
      <c r="J64" s="1" t="s">
        <v>129</v>
      </c>
      <c r="K64" s="1" t="s">
        <v>40</v>
      </c>
      <c r="L64" s="1" t="s">
        <v>25</v>
      </c>
      <c r="M64" s="1" t="s">
        <v>26</v>
      </c>
      <c r="N64" s="9" t="s">
        <v>27</v>
      </c>
      <c r="O64" s="1" t="s">
        <v>28</v>
      </c>
      <c r="P64" s="1" t="s">
        <v>29</v>
      </c>
      <c r="Q64" s="1">
        <v>292</v>
      </c>
      <c r="R64" s="1" t="s">
        <v>30</v>
      </c>
      <c r="S64" s="1" t="s">
        <v>31</v>
      </c>
      <c r="T64" s="1" t="str">
        <f>CONCATENATE("&gt;Usutu virus isolate ",K64,", NS5 gene, partial cds")</f>
        <v>&gt;Usutu virus isolate Africa 3, NS5 gene, partial cds</v>
      </c>
      <c r="U64" s="1" t="s">
        <v>19</v>
      </c>
      <c r="V64" s="5" t="s">
        <v>32</v>
      </c>
      <c r="W64" s="5" t="s">
        <v>245</v>
      </c>
    </row>
    <row r="65" spans="1:23" x14ac:dyDescent="0.3">
      <c r="A65" s="2">
        <v>6124</v>
      </c>
      <c r="B65" s="2" t="s">
        <v>19</v>
      </c>
      <c r="C65" s="10" t="s">
        <v>354</v>
      </c>
      <c r="D65" s="8" t="s">
        <v>197</v>
      </c>
      <c r="E65" s="1">
        <v>2018</v>
      </c>
      <c r="F65" s="9" t="s">
        <v>20</v>
      </c>
      <c r="G65" s="9" t="s">
        <v>21</v>
      </c>
      <c r="H65" s="1">
        <v>45</v>
      </c>
      <c r="I65" s="1" t="s">
        <v>130</v>
      </c>
      <c r="J65" s="1" t="s">
        <v>131</v>
      </c>
      <c r="K65" s="1" t="s">
        <v>40</v>
      </c>
      <c r="L65" s="1" t="s">
        <v>25</v>
      </c>
      <c r="M65" s="1" t="s">
        <v>26</v>
      </c>
      <c r="N65" s="9" t="s">
        <v>27</v>
      </c>
      <c r="O65" s="1" t="s">
        <v>28</v>
      </c>
      <c r="P65" s="1" t="s">
        <v>29</v>
      </c>
      <c r="Q65" s="1">
        <v>292</v>
      </c>
      <c r="R65" s="1" t="s">
        <v>30</v>
      </c>
      <c r="S65" s="1" t="s">
        <v>31</v>
      </c>
      <c r="T65" s="1" t="str">
        <f>CONCATENATE("&gt;Usutu virus isolate ",K65,", NS5 gene, partial cds")</f>
        <v>&gt;Usutu virus isolate Africa 3, NS5 gene, partial cds</v>
      </c>
      <c r="U65" s="1" t="s">
        <v>19</v>
      </c>
      <c r="V65" s="5" t="s">
        <v>32</v>
      </c>
      <c r="W65" s="5" t="s">
        <v>274</v>
      </c>
    </row>
    <row r="66" spans="1:23" x14ac:dyDescent="0.3">
      <c r="A66" s="2">
        <v>6159</v>
      </c>
      <c r="B66" s="2" t="s">
        <v>19</v>
      </c>
      <c r="C66" s="10" t="s">
        <v>355</v>
      </c>
      <c r="D66" s="8">
        <v>43340</v>
      </c>
      <c r="E66" s="1">
        <v>2018</v>
      </c>
      <c r="F66" s="9" t="s">
        <v>20</v>
      </c>
      <c r="G66" s="9" t="s">
        <v>21</v>
      </c>
      <c r="H66" s="1">
        <v>62</v>
      </c>
      <c r="I66" s="1" t="s">
        <v>132</v>
      </c>
      <c r="J66" s="1" t="s">
        <v>133</v>
      </c>
      <c r="K66" s="1" t="s">
        <v>40</v>
      </c>
      <c r="L66" s="1" t="s">
        <v>25</v>
      </c>
      <c r="M66" s="1" t="s">
        <v>26</v>
      </c>
      <c r="N66" s="9" t="s">
        <v>27</v>
      </c>
      <c r="O66" s="1" t="s">
        <v>28</v>
      </c>
      <c r="P66" s="1" t="s">
        <v>29</v>
      </c>
      <c r="Q66" s="1">
        <v>1085</v>
      </c>
      <c r="R66" s="1" t="s">
        <v>30</v>
      </c>
      <c r="S66" s="1" t="s">
        <v>68</v>
      </c>
      <c r="T66" s="1" t="str">
        <f>CONCATENATE("&gt;Usutu virus isolate ",K66,", NS5 gene, partial cds")</f>
        <v>&gt;Usutu virus isolate Africa 3, NS5 gene, partial cds</v>
      </c>
      <c r="U66" s="1" t="s">
        <v>19</v>
      </c>
      <c r="V66" s="5" t="s">
        <v>32</v>
      </c>
      <c r="W66" s="5" t="s">
        <v>275</v>
      </c>
    </row>
    <row r="67" spans="1:23" x14ac:dyDescent="0.3">
      <c r="A67" s="2">
        <v>6236</v>
      </c>
      <c r="B67" s="2" t="s">
        <v>19</v>
      </c>
      <c r="C67" s="10" t="s">
        <v>356</v>
      </c>
      <c r="D67" s="8">
        <v>43353</v>
      </c>
      <c r="E67" s="1">
        <v>2018</v>
      </c>
      <c r="F67" s="9" t="s">
        <v>20</v>
      </c>
      <c r="G67" s="9" t="s">
        <v>21</v>
      </c>
      <c r="H67" s="1">
        <v>71</v>
      </c>
      <c r="I67" s="1" t="s">
        <v>134</v>
      </c>
      <c r="J67" s="1" t="s">
        <v>135</v>
      </c>
      <c r="K67" s="1" t="s">
        <v>40</v>
      </c>
      <c r="L67" s="1" t="s">
        <v>25</v>
      </c>
      <c r="M67" s="1" t="s">
        <v>26</v>
      </c>
      <c r="N67" s="9" t="s">
        <v>27</v>
      </c>
      <c r="O67" s="1" t="s">
        <v>28</v>
      </c>
      <c r="P67" s="1" t="s">
        <v>29</v>
      </c>
      <c r="Q67" s="1">
        <v>292</v>
      </c>
      <c r="R67" s="1" t="s">
        <v>30</v>
      </c>
      <c r="S67" s="1" t="s">
        <v>31</v>
      </c>
      <c r="T67" s="1" t="str">
        <f>CONCATENATE("&gt;Usutu virus isolate ",K67,", NS5 gene, partial cds")</f>
        <v>&gt;Usutu virus isolate Africa 3, NS5 gene, partial cds</v>
      </c>
      <c r="U67" s="1" t="s">
        <v>19</v>
      </c>
      <c r="V67" s="5" t="s">
        <v>32</v>
      </c>
      <c r="W67" s="5" t="s">
        <v>276</v>
      </c>
    </row>
    <row r="68" spans="1:23" x14ac:dyDescent="0.3">
      <c r="A68" s="2">
        <v>6510</v>
      </c>
      <c r="B68" s="2" t="s">
        <v>19</v>
      </c>
      <c r="C68" s="10" t="s">
        <v>357</v>
      </c>
      <c r="D68" s="8">
        <v>43358</v>
      </c>
      <c r="E68" s="1">
        <v>2018</v>
      </c>
      <c r="F68" s="9" t="s">
        <v>20</v>
      </c>
      <c r="G68" s="9" t="s">
        <v>21</v>
      </c>
      <c r="H68" s="1">
        <v>22</v>
      </c>
      <c r="I68" s="1" t="s">
        <v>136</v>
      </c>
      <c r="J68" s="1" t="s">
        <v>137</v>
      </c>
      <c r="K68" s="1" t="s">
        <v>40</v>
      </c>
      <c r="L68" s="1" t="s">
        <v>25</v>
      </c>
      <c r="M68" s="1" t="s">
        <v>26</v>
      </c>
      <c r="N68" s="9" t="s">
        <v>27</v>
      </c>
      <c r="O68" s="1" t="s">
        <v>28</v>
      </c>
      <c r="P68" s="1" t="s">
        <v>29</v>
      </c>
      <c r="Q68" s="1">
        <v>292</v>
      </c>
      <c r="R68" s="1" t="s">
        <v>30</v>
      </c>
      <c r="S68" s="1" t="s">
        <v>31</v>
      </c>
      <c r="T68" s="1" t="str">
        <f>CONCATENATE("&gt;Usutu virus isolate ",K68,", NS5 gene, partial cds")</f>
        <v>&gt;Usutu virus isolate Africa 3, NS5 gene, partial cds</v>
      </c>
      <c r="U68" s="1" t="s">
        <v>19</v>
      </c>
      <c r="V68" s="5" t="s">
        <v>32</v>
      </c>
      <c r="W68" s="5" t="s">
        <v>258</v>
      </c>
    </row>
    <row r="69" spans="1:23" x14ac:dyDescent="0.3">
      <c r="A69" s="2">
        <v>6567</v>
      </c>
      <c r="B69" s="2" t="s">
        <v>19</v>
      </c>
      <c r="C69" s="10" t="s">
        <v>358</v>
      </c>
      <c r="D69" s="8">
        <v>43363</v>
      </c>
      <c r="E69" s="1">
        <v>2018</v>
      </c>
      <c r="F69" s="9" t="s">
        <v>20</v>
      </c>
      <c r="G69" s="9" t="s">
        <v>21</v>
      </c>
      <c r="H69" s="1" t="s">
        <v>84</v>
      </c>
      <c r="I69" s="1" t="s">
        <v>138</v>
      </c>
      <c r="J69" s="1" t="s">
        <v>139</v>
      </c>
      <c r="K69" s="1" t="s">
        <v>40</v>
      </c>
      <c r="L69" s="1" t="s">
        <v>25</v>
      </c>
      <c r="M69" s="1" t="s">
        <v>26</v>
      </c>
      <c r="N69" s="9" t="s">
        <v>27</v>
      </c>
      <c r="O69" s="1" t="s">
        <v>28</v>
      </c>
      <c r="P69" s="1" t="s">
        <v>29</v>
      </c>
      <c r="Q69" s="1">
        <v>292</v>
      </c>
      <c r="R69" s="1" t="s">
        <v>30</v>
      </c>
      <c r="S69" s="1" t="s">
        <v>31</v>
      </c>
      <c r="T69" s="1" t="str">
        <f>CONCATENATE("&gt;Usutu virus isolate ",K69,", NS5 gene, partial cds")</f>
        <v>&gt;Usutu virus isolate Africa 3, NS5 gene, partial cds</v>
      </c>
      <c r="U69" s="1" t="s">
        <v>19</v>
      </c>
      <c r="V69" s="5" t="s">
        <v>32</v>
      </c>
      <c r="W69" s="5" t="s">
        <v>249</v>
      </c>
    </row>
    <row r="70" spans="1:23" x14ac:dyDescent="0.3">
      <c r="A70" s="2">
        <v>6568</v>
      </c>
      <c r="B70" s="2" t="s">
        <v>19</v>
      </c>
      <c r="C70" s="10" t="s">
        <v>359</v>
      </c>
      <c r="D70" s="8">
        <v>43367</v>
      </c>
      <c r="E70" s="1">
        <v>2018</v>
      </c>
      <c r="F70" s="9" t="s">
        <v>20</v>
      </c>
      <c r="G70" s="9" t="s">
        <v>21</v>
      </c>
      <c r="H70" s="1">
        <v>78</v>
      </c>
      <c r="I70" s="1" t="s">
        <v>140</v>
      </c>
      <c r="J70" s="1" t="s">
        <v>141</v>
      </c>
      <c r="K70" s="1" t="s">
        <v>40</v>
      </c>
      <c r="L70" s="1" t="s">
        <v>25</v>
      </c>
      <c r="M70" s="1" t="s">
        <v>53</v>
      </c>
      <c r="N70" s="9" t="s">
        <v>54</v>
      </c>
      <c r="O70" s="1" t="s">
        <v>55</v>
      </c>
      <c r="P70" s="1" t="s">
        <v>29</v>
      </c>
      <c r="Q70" s="1">
        <v>292</v>
      </c>
      <c r="R70" s="1" t="s">
        <v>30</v>
      </c>
      <c r="S70" s="1" t="s">
        <v>31</v>
      </c>
      <c r="T70" s="1" t="str">
        <f>CONCATENATE("&gt;Usutu virus isolate ",K70,", NS5 gene, partial cds")</f>
        <v>&gt;Usutu virus isolate Africa 3, NS5 gene, partial cds</v>
      </c>
      <c r="U70" s="1" t="s">
        <v>19</v>
      </c>
      <c r="V70" s="5" t="s">
        <v>32</v>
      </c>
      <c r="W70" s="5" t="s">
        <v>245</v>
      </c>
    </row>
    <row r="71" spans="1:23" x14ac:dyDescent="0.3">
      <c r="A71" s="2">
        <v>6569</v>
      </c>
      <c r="B71" s="2" t="s">
        <v>19</v>
      </c>
      <c r="C71" s="10" t="s">
        <v>360</v>
      </c>
      <c r="D71" s="8">
        <v>43367</v>
      </c>
      <c r="E71" s="1">
        <v>2018</v>
      </c>
      <c r="F71" s="9" t="s">
        <v>20</v>
      </c>
      <c r="G71" s="9" t="s">
        <v>21</v>
      </c>
      <c r="H71" s="1">
        <v>78</v>
      </c>
      <c r="I71" s="1" t="s">
        <v>140</v>
      </c>
      <c r="J71" s="1" t="s">
        <v>141</v>
      </c>
      <c r="K71" s="1" t="s">
        <v>40</v>
      </c>
      <c r="L71" s="1" t="s">
        <v>25</v>
      </c>
      <c r="M71" s="1" t="s">
        <v>53</v>
      </c>
      <c r="N71" s="9" t="s">
        <v>54</v>
      </c>
      <c r="O71" s="1" t="s">
        <v>55</v>
      </c>
      <c r="P71" s="1" t="s">
        <v>29</v>
      </c>
      <c r="Q71" s="1">
        <v>292</v>
      </c>
      <c r="R71" s="1" t="s">
        <v>30</v>
      </c>
      <c r="S71" s="1" t="s">
        <v>31</v>
      </c>
      <c r="T71" s="1" t="str">
        <f>CONCATENATE("&gt;Usutu virus isolate ",K71,", NS5 gene, partial cds")</f>
        <v>&gt;Usutu virus isolate Africa 3, NS5 gene, partial cds</v>
      </c>
      <c r="U71" s="1" t="s">
        <v>19</v>
      </c>
      <c r="V71" s="5" t="s">
        <v>32</v>
      </c>
      <c r="W71" s="5" t="s">
        <v>245</v>
      </c>
    </row>
    <row r="72" spans="1:23" x14ac:dyDescent="0.3">
      <c r="A72" s="2">
        <v>6575</v>
      </c>
      <c r="B72" s="2" t="s">
        <v>19</v>
      </c>
      <c r="C72" s="10" t="s">
        <v>361</v>
      </c>
      <c r="D72" s="8" t="s">
        <v>198</v>
      </c>
      <c r="E72" s="1">
        <v>2018</v>
      </c>
      <c r="F72" s="9" t="s">
        <v>20</v>
      </c>
      <c r="G72" s="9" t="s">
        <v>21</v>
      </c>
      <c r="H72" s="1" t="s">
        <v>142</v>
      </c>
      <c r="I72" s="1" t="s">
        <v>143</v>
      </c>
      <c r="J72" s="1" t="s">
        <v>144</v>
      </c>
      <c r="K72" s="1" t="s">
        <v>40</v>
      </c>
      <c r="L72" s="1" t="s">
        <v>25</v>
      </c>
      <c r="M72" s="1" t="s">
        <v>53</v>
      </c>
      <c r="N72" s="9" t="s">
        <v>54</v>
      </c>
      <c r="O72" s="1" t="s">
        <v>55</v>
      </c>
      <c r="P72" s="1" t="s">
        <v>29</v>
      </c>
      <c r="Q72" s="1">
        <v>292</v>
      </c>
      <c r="R72" s="1" t="s">
        <v>30</v>
      </c>
      <c r="S72" s="1" t="s">
        <v>31</v>
      </c>
      <c r="T72" s="1" t="str">
        <f>CONCATENATE("&gt;Usutu virus isolate ",K72,", NS5 gene, partial cds")</f>
        <v>&gt;Usutu virus isolate Africa 3, NS5 gene, partial cds</v>
      </c>
      <c r="U72" s="1" t="s">
        <v>19</v>
      </c>
      <c r="V72" s="5" t="s">
        <v>32</v>
      </c>
      <c r="W72" s="5" t="s">
        <v>277</v>
      </c>
    </row>
    <row r="73" spans="1:23" x14ac:dyDescent="0.3">
      <c r="A73" s="2">
        <v>6576</v>
      </c>
      <c r="B73" s="2" t="s">
        <v>19</v>
      </c>
      <c r="C73" s="10" t="s">
        <v>362</v>
      </c>
      <c r="D73" s="8" t="s">
        <v>198</v>
      </c>
      <c r="E73" s="1">
        <v>2018</v>
      </c>
      <c r="F73" s="9" t="s">
        <v>20</v>
      </c>
      <c r="G73" s="9" t="s">
        <v>21</v>
      </c>
      <c r="H73" s="1" t="s">
        <v>142</v>
      </c>
      <c r="I73" s="1" t="s">
        <v>143</v>
      </c>
      <c r="J73" s="1" t="s">
        <v>144</v>
      </c>
      <c r="K73" s="1" t="s">
        <v>40</v>
      </c>
      <c r="L73" s="1" t="s">
        <v>25</v>
      </c>
      <c r="M73" s="1" t="s">
        <v>53</v>
      </c>
      <c r="N73" s="9" t="s">
        <v>54</v>
      </c>
      <c r="O73" s="1" t="s">
        <v>55</v>
      </c>
      <c r="P73" s="1" t="s">
        <v>29</v>
      </c>
      <c r="Q73" s="1">
        <v>292</v>
      </c>
      <c r="R73" s="1" t="s">
        <v>30</v>
      </c>
      <c r="S73" s="1" t="s">
        <v>31</v>
      </c>
      <c r="T73" s="1" t="str">
        <f>CONCATENATE("&gt;Usutu virus isolate ",K73,", NS5 gene, partial cds")</f>
        <v>&gt;Usutu virus isolate Africa 3, NS5 gene, partial cds</v>
      </c>
      <c r="U73" s="1" t="s">
        <v>19</v>
      </c>
      <c r="V73" s="5" t="s">
        <v>32</v>
      </c>
      <c r="W73" s="5" t="s">
        <v>277</v>
      </c>
    </row>
    <row r="74" spans="1:23" x14ac:dyDescent="0.3">
      <c r="A74" s="2">
        <v>6577</v>
      </c>
      <c r="B74" s="2" t="s">
        <v>19</v>
      </c>
      <c r="C74" s="10" t="s">
        <v>363</v>
      </c>
      <c r="D74" s="8" t="s">
        <v>199</v>
      </c>
      <c r="E74" s="1">
        <v>2018</v>
      </c>
      <c r="F74" s="9" t="s">
        <v>20</v>
      </c>
      <c r="G74" s="9" t="s">
        <v>21</v>
      </c>
      <c r="H74" s="1">
        <v>48</v>
      </c>
      <c r="I74" s="1" t="s">
        <v>145</v>
      </c>
      <c r="J74" s="1" t="s">
        <v>146</v>
      </c>
      <c r="K74" s="1" t="s">
        <v>40</v>
      </c>
      <c r="L74" s="1" t="s">
        <v>25</v>
      </c>
      <c r="M74" s="1" t="s">
        <v>26</v>
      </c>
      <c r="N74" s="9" t="s">
        <v>27</v>
      </c>
      <c r="O74" s="1" t="s">
        <v>28</v>
      </c>
      <c r="P74" s="1" t="s">
        <v>29</v>
      </c>
      <c r="Q74" s="1">
        <v>292</v>
      </c>
      <c r="R74" s="1" t="s">
        <v>30</v>
      </c>
      <c r="S74" s="1" t="s">
        <v>31</v>
      </c>
      <c r="T74" s="1" t="str">
        <f>CONCATENATE("&gt;Usutu virus isolate ",K74,", NS5 gene, partial cds")</f>
        <v>&gt;Usutu virus isolate Africa 3, NS5 gene, partial cds</v>
      </c>
      <c r="U74" s="1" t="s">
        <v>19</v>
      </c>
      <c r="V74" s="5" t="s">
        <v>32</v>
      </c>
      <c r="W74" s="5" t="s">
        <v>278</v>
      </c>
    </row>
    <row r="75" spans="1:23" x14ac:dyDescent="0.3">
      <c r="A75" s="2">
        <v>6677</v>
      </c>
      <c r="B75" s="2" t="s">
        <v>19</v>
      </c>
      <c r="C75" s="10" t="s">
        <v>364</v>
      </c>
      <c r="D75" s="8" t="s">
        <v>200</v>
      </c>
      <c r="E75" s="1">
        <v>2018</v>
      </c>
      <c r="F75" s="9" t="s">
        <v>20</v>
      </c>
      <c r="G75" s="9" t="s">
        <v>21</v>
      </c>
      <c r="H75" s="1">
        <v>57</v>
      </c>
      <c r="I75" s="1" t="s">
        <v>147</v>
      </c>
      <c r="J75" s="1" t="s">
        <v>148</v>
      </c>
      <c r="K75" s="1" t="s">
        <v>40</v>
      </c>
      <c r="L75" s="1" t="s">
        <v>25</v>
      </c>
      <c r="M75" s="1" t="s">
        <v>53</v>
      </c>
      <c r="N75" s="9" t="s">
        <v>54</v>
      </c>
      <c r="O75" s="1" t="s">
        <v>55</v>
      </c>
      <c r="P75" s="1" t="s">
        <v>29</v>
      </c>
      <c r="Q75" s="1">
        <v>1085</v>
      </c>
      <c r="R75" s="1" t="s">
        <v>30</v>
      </c>
      <c r="S75" s="1" t="s">
        <v>68</v>
      </c>
      <c r="T75" s="1" t="str">
        <f>CONCATENATE("&gt;Usutu virus isolate ",K75,", NS5 gene, partial cds")</f>
        <v>&gt;Usutu virus isolate Africa 3, NS5 gene, partial cds</v>
      </c>
      <c r="U75" s="1" t="s">
        <v>19</v>
      </c>
      <c r="V75" s="5" t="s">
        <v>32</v>
      </c>
      <c r="W75" s="5" t="s">
        <v>250</v>
      </c>
    </row>
    <row r="76" spans="1:23" x14ac:dyDescent="0.3">
      <c r="A76" s="2">
        <v>6687</v>
      </c>
      <c r="B76" s="2" t="s">
        <v>19</v>
      </c>
      <c r="C76" s="10" t="s">
        <v>365</v>
      </c>
      <c r="D76" s="8" t="s">
        <v>198</v>
      </c>
      <c r="E76" s="1">
        <v>2018</v>
      </c>
      <c r="F76" s="9" t="s">
        <v>20</v>
      </c>
      <c r="G76" s="9" t="s">
        <v>21</v>
      </c>
      <c r="H76" s="1">
        <v>43</v>
      </c>
      <c r="I76" s="1" t="s">
        <v>149</v>
      </c>
      <c r="J76" s="1" t="s">
        <v>150</v>
      </c>
      <c r="K76" s="1" t="s">
        <v>40</v>
      </c>
      <c r="L76" s="1" t="s">
        <v>25</v>
      </c>
      <c r="M76" s="1" t="s">
        <v>26</v>
      </c>
      <c r="N76" s="9" t="s">
        <v>27</v>
      </c>
      <c r="O76" s="1" t="s">
        <v>28</v>
      </c>
      <c r="P76" s="1" t="s">
        <v>29</v>
      </c>
      <c r="Q76" s="1">
        <v>292</v>
      </c>
      <c r="R76" s="1" t="s">
        <v>30</v>
      </c>
      <c r="S76" s="1" t="s">
        <v>31</v>
      </c>
      <c r="T76" s="1" t="str">
        <f>CONCATENATE("&gt;Usutu virus isolate ",K76,", NS5 gene, partial cds")</f>
        <v>&gt;Usutu virus isolate Africa 3, NS5 gene, partial cds</v>
      </c>
      <c r="U76" s="1" t="s">
        <v>19</v>
      </c>
      <c r="V76" s="5" t="s">
        <v>32</v>
      </c>
      <c r="W76" s="5" t="s">
        <v>255</v>
      </c>
    </row>
    <row r="77" spans="1:23" x14ac:dyDescent="0.3">
      <c r="A77" s="2">
        <v>6732</v>
      </c>
      <c r="B77" s="2" t="s">
        <v>19</v>
      </c>
      <c r="C77" s="10" t="s">
        <v>366</v>
      </c>
      <c r="D77" s="8" t="s">
        <v>198</v>
      </c>
      <c r="E77" s="1">
        <v>2018</v>
      </c>
      <c r="F77" s="9" t="s">
        <v>20</v>
      </c>
      <c r="G77" s="9" t="s">
        <v>21</v>
      </c>
      <c r="H77" s="1">
        <v>43</v>
      </c>
      <c r="I77" s="1" t="s">
        <v>149</v>
      </c>
      <c r="J77" s="1" t="s">
        <v>150</v>
      </c>
      <c r="K77" s="1" t="s">
        <v>40</v>
      </c>
      <c r="L77" s="1" t="s">
        <v>25</v>
      </c>
      <c r="M77" s="1" t="s">
        <v>26</v>
      </c>
      <c r="N77" s="9" t="s">
        <v>27</v>
      </c>
      <c r="O77" s="1" t="s">
        <v>28</v>
      </c>
      <c r="P77" s="1" t="s">
        <v>29</v>
      </c>
      <c r="Q77" s="1">
        <v>292</v>
      </c>
      <c r="R77" s="1" t="s">
        <v>30</v>
      </c>
      <c r="S77" s="1" t="s">
        <v>31</v>
      </c>
      <c r="T77" s="1" t="str">
        <f>CONCATENATE("&gt;Usutu virus isolate ",K77,", NS5 gene, partial cds")</f>
        <v>&gt;Usutu virus isolate Africa 3, NS5 gene, partial cds</v>
      </c>
      <c r="U77" s="1" t="s">
        <v>19</v>
      </c>
      <c r="V77" s="5" t="s">
        <v>32</v>
      </c>
      <c r="W77" s="5" t="s">
        <v>255</v>
      </c>
    </row>
    <row r="78" spans="1:23" x14ac:dyDescent="0.3">
      <c r="A78" s="2">
        <v>6737</v>
      </c>
      <c r="B78" s="2" t="s">
        <v>19</v>
      </c>
      <c r="C78" s="10" t="s">
        <v>367</v>
      </c>
      <c r="D78" s="8">
        <v>43370</v>
      </c>
      <c r="E78" s="1">
        <v>2018</v>
      </c>
      <c r="F78" s="9" t="s">
        <v>20</v>
      </c>
      <c r="G78" s="9" t="s">
        <v>21</v>
      </c>
      <c r="H78" s="1">
        <v>81</v>
      </c>
      <c r="I78" s="1" t="s">
        <v>151</v>
      </c>
      <c r="J78" s="1" t="s">
        <v>152</v>
      </c>
      <c r="K78" s="1" t="s">
        <v>40</v>
      </c>
      <c r="L78" s="1" t="s">
        <v>25</v>
      </c>
      <c r="M78" s="1" t="s">
        <v>26</v>
      </c>
      <c r="N78" s="9" t="s">
        <v>27</v>
      </c>
      <c r="O78" s="1" t="s">
        <v>28</v>
      </c>
      <c r="P78" s="1" t="s">
        <v>29</v>
      </c>
      <c r="Q78" s="1">
        <v>292</v>
      </c>
      <c r="R78" s="1" t="s">
        <v>30</v>
      </c>
      <c r="S78" s="1" t="s">
        <v>31</v>
      </c>
      <c r="T78" s="1" t="str">
        <f>CONCATENATE("&gt;Usutu virus isolate ",K78,", NS5 gene, partial cds")</f>
        <v>&gt;Usutu virus isolate Africa 3, NS5 gene, partial cds</v>
      </c>
      <c r="U78" s="1" t="s">
        <v>19</v>
      </c>
      <c r="V78" s="5" t="s">
        <v>32</v>
      </c>
      <c r="W78" s="5" t="s">
        <v>249</v>
      </c>
    </row>
    <row r="79" spans="1:23" x14ac:dyDescent="0.3">
      <c r="A79" s="2">
        <v>6797</v>
      </c>
      <c r="B79" s="2" t="s">
        <v>19</v>
      </c>
      <c r="C79" s="10" t="s">
        <v>368</v>
      </c>
      <c r="D79" s="8" t="s">
        <v>201</v>
      </c>
      <c r="E79" s="1">
        <v>2018</v>
      </c>
      <c r="F79" s="9" t="s">
        <v>20</v>
      </c>
      <c r="G79" s="9" t="s">
        <v>21</v>
      </c>
      <c r="H79" s="1">
        <v>26</v>
      </c>
      <c r="I79" s="1" t="s">
        <v>153</v>
      </c>
      <c r="J79" s="1" t="s">
        <v>154</v>
      </c>
      <c r="K79" s="1" t="s">
        <v>40</v>
      </c>
      <c r="L79" s="1" t="s">
        <v>25</v>
      </c>
      <c r="M79" s="1" t="s">
        <v>26</v>
      </c>
      <c r="N79" s="9" t="s">
        <v>27</v>
      </c>
      <c r="O79" s="1" t="s">
        <v>28</v>
      </c>
      <c r="P79" s="1" t="s">
        <v>29</v>
      </c>
      <c r="Q79" s="1">
        <v>292</v>
      </c>
      <c r="R79" s="1" t="s">
        <v>30</v>
      </c>
      <c r="S79" s="1" t="s">
        <v>31</v>
      </c>
      <c r="T79" s="1" t="str">
        <f>CONCATENATE("&gt;Usutu virus isolate ",K79,", NS5 gene, partial cds")</f>
        <v>&gt;Usutu virus isolate Africa 3, NS5 gene, partial cds</v>
      </c>
      <c r="U79" s="1" t="s">
        <v>19</v>
      </c>
      <c r="V79" s="5" t="s">
        <v>32</v>
      </c>
      <c r="W79" s="5" t="s">
        <v>259</v>
      </c>
    </row>
    <row r="80" spans="1:23" x14ac:dyDescent="0.3">
      <c r="A80" s="2">
        <v>6804</v>
      </c>
      <c r="B80" s="2" t="s">
        <v>19</v>
      </c>
      <c r="C80" s="10" t="s">
        <v>369</v>
      </c>
      <c r="D80" s="8">
        <v>43359</v>
      </c>
      <c r="E80" s="1">
        <v>2018</v>
      </c>
      <c r="F80" s="9" t="s">
        <v>20</v>
      </c>
      <c r="G80" s="9" t="s">
        <v>21</v>
      </c>
      <c r="H80" s="1">
        <v>30</v>
      </c>
      <c r="I80" s="1" t="s">
        <v>155</v>
      </c>
      <c r="J80" s="1" t="s">
        <v>156</v>
      </c>
      <c r="K80" s="1" t="s">
        <v>40</v>
      </c>
      <c r="L80" s="1" t="s">
        <v>25</v>
      </c>
      <c r="M80" s="1" t="s">
        <v>26</v>
      </c>
      <c r="N80" s="9" t="s">
        <v>27</v>
      </c>
      <c r="O80" s="1" t="s">
        <v>28</v>
      </c>
      <c r="P80" s="1" t="s">
        <v>29</v>
      </c>
      <c r="Q80" s="1">
        <v>1085</v>
      </c>
      <c r="R80" s="1" t="s">
        <v>30</v>
      </c>
      <c r="S80" s="1" t="s">
        <v>68</v>
      </c>
      <c r="T80" s="1" t="str">
        <f>CONCATENATE("&gt;Usutu virus isolate ",K80,", NS5 gene, partial cds")</f>
        <v>&gt;Usutu virus isolate Africa 3, NS5 gene, partial cds</v>
      </c>
      <c r="U80" s="1" t="s">
        <v>19</v>
      </c>
      <c r="V80" s="5" t="s">
        <v>32</v>
      </c>
      <c r="W80" s="5" t="s">
        <v>279</v>
      </c>
    </row>
    <row r="81" spans="1:23" x14ac:dyDescent="0.3">
      <c r="A81" s="2">
        <v>6806</v>
      </c>
      <c r="B81" s="2" t="s">
        <v>19</v>
      </c>
      <c r="C81" s="10" t="s">
        <v>370</v>
      </c>
      <c r="D81" s="8">
        <v>43374</v>
      </c>
      <c r="E81" s="1">
        <v>2018</v>
      </c>
      <c r="F81" s="9" t="s">
        <v>20</v>
      </c>
      <c r="G81" s="9" t="s">
        <v>21</v>
      </c>
      <c r="H81" s="1">
        <v>30</v>
      </c>
      <c r="I81" s="1" t="s">
        <v>157</v>
      </c>
      <c r="J81" s="1" t="s">
        <v>158</v>
      </c>
      <c r="K81" s="1" t="s">
        <v>40</v>
      </c>
      <c r="L81" s="1" t="s">
        <v>25</v>
      </c>
      <c r="M81" s="1" t="s">
        <v>26</v>
      </c>
      <c r="N81" s="9" t="s">
        <v>27</v>
      </c>
      <c r="O81" s="1" t="s">
        <v>28</v>
      </c>
      <c r="P81" s="1" t="s">
        <v>29</v>
      </c>
      <c r="Q81" s="1">
        <v>292</v>
      </c>
      <c r="R81" s="1" t="s">
        <v>30</v>
      </c>
      <c r="S81" s="1" t="s">
        <v>31</v>
      </c>
      <c r="T81" s="1" t="str">
        <f>CONCATENATE("&gt;Usutu virus isolate ",K81,", NS5 gene, partial cds")</f>
        <v>&gt;Usutu virus isolate Africa 3, NS5 gene, partial cds</v>
      </c>
      <c r="U81" s="1" t="s">
        <v>19</v>
      </c>
      <c r="V81" s="5" t="s">
        <v>32</v>
      </c>
      <c r="W81" s="5" t="s">
        <v>259</v>
      </c>
    </row>
    <row r="82" spans="1:23" x14ac:dyDescent="0.3">
      <c r="A82" s="2">
        <v>6831</v>
      </c>
      <c r="B82" s="2" t="s">
        <v>19</v>
      </c>
      <c r="C82" s="10" t="s">
        <v>371</v>
      </c>
      <c r="D82" s="8">
        <v>43371</v>
      </c>
      <c r="E82" s="1">
        <v>2018</v>
      </c>
      <c r="F82" s="9" t="s">
        <v>20</v>
      </c>
      <c r="G82" s="9" t="s">
        <v>21</v>
      </c>
      <c r="H82" s="1">
        <v>36</v>
      </c>
      <c r="I82" s="1" t="s">
        <v>159</v>
      </c>
      <c r="J82" s="1" t="s">
        <v>160</v>
      </c>
      <c r="K82" s="1" t="s">
        <v>40</v>
      </c>
      <c r="L82" s="1" t="s">
        <v>25</v>
      </c>
      <c r="M82" s="1" t="s">
        <v>26</v>
      </c>
      <c r="N82" s="9" t="s">
        <v>27</v>
      </c>
      <c r="O82" s="1" t="s">
        <v>28</v>
      </c>
      <c r="P82" s="1" t="s">
        <v>29</v>
      </c>
      <c r="Q82" s="1">
        <v>292</v>
      </c>
      <c r="R82" s="1" t="s">
        <v>30</v>
      </c>
      <c r="S82" s="1" t="s">
        <v>31</v>
      </c>
      <c r="T82" s="1" t="str">
        <f>CONCATENATE("&gt;Usutu virus isolate ",K82,", NS5 gene, partial cds")</f>
        <v>&gt;Usutu virus isolate Africa 3, NS5 gene, partial cds</v>
      </c>
      <c r="U82" s="1" t="s">
        <v>19</v>
      </c>
      <c r="V82" s="5" t="s">
        <v>32</v>
      </c>
      <c r="W82" s="5" t="s">
        <v>245</v>
      </c>
    </row>
    <row r="83" spans="1:23" x14ac:dyDescent="0.3">
      <c r="A83" s="2">
        <v>6894</v>
      </c>
      <c r="B83" s="2" t="s">
        <v>19</v>
      </c>
      <c r="C83" s="10" t="s">
        <v>372</v>
      </c>
      <c r="D83" s="8">
        <v>43360</v>
      </c>
      <c r="E83" s="1">
        <v>2018</v>
      </c>
      <c r="F83" s="9" t="s">
        <v>20</v>
      </c>
      <c r="G83" s="9" t="s">
        <v>21</v>
      </c>
      <c r="H83" s="1">
        <v>77</v>
      </c>
      <c r="I83" s="1" t="s">
        <v>161</v>
      </c>
      <c r="J83" s="1" t="s">
        <v>162</v>
      </c>
      <c r="K83" s="1" t="s">
        <v>40</v>
      </c>
      <c r="L83" s="1" t="s">
        <v>25</v>
      </c>
      <c r="M83" s="1" t="s">
        <v>26</v>
      </c>
      <c r="N83" s="9" t="s">
        <v>27</v>
      </c>
      <c r="O83" s="1" t="s">
        <v>28</v>
      </c>
      <c r="P83" s="1" t="s">
        <v>29</v>
      </c>
      <c r="Q83" s="1">
        <v>292</v>
      </c>
      <c r="R83" s="1" t="s">
        <v>30</v>
      </c>
      <c r="S83" s="1" t="s">
        <v>31</v>
      </c>
      <c r="T83" s="1" t="str">
        <f>CONCATENATE("&gt;Usutu virus isolate ",K83,", NS5 gene, partial cds")</f>
        <v>&gt;Usutu virus isolate Africa 3, NS5 gene, partial cds</v>
      </c>
      <c r="U83" s="1" t="s">
        <v>19</v>
      </c>
      <c r="V83" s="5" t="s">
        <v>32</v>
      </c>
      <c r="W83" s="5" t="s">
        <v>245</v>
      </c>
    </row>
    <row r="84" spans="1:23" x14ac:dyDescent="0.3">
      <c r="A84" s="2">
        <v>6895</v>
      </c>
      <c r="B84" s="2" t="s">
        <v>19</v>
      </c>
      <c r="C84" s="10" t="s">
        <v>373</v>
      </c>
      <c r="D84" s="8">
        <v>43375</v>
      </c>
      <c r="E84" s="1">
        <v>2018</v>
      </c>
      <c r="F84" s="9" t="s">
        <v>20</v>
      </c>
      <c r="G84" s="9" t="s">
        <v>21</v>
      </c>
      <c r="H84" s="1">
        <v>77</v>
      </c>
      <c r="I84" s="1" t="s">
        <v>161</v>
      </c>
      <c r="J84" s="1" t="s">
        <v>162</v>
      </c>
      <c r="K84" s="1" t="s">
        <v>40</v>
      </c>
      <c r="L84" s="1" t="s">
        <v>25</v>
      </c>
      <c r="M84" s="1" t="s">
        <v>26</v>
      </c>
      <c r="N84" s="9" t="s">
        <v>27</v>
      </c>
      <c r="O84" s="1" t="s">
        <v>28</v>
      </c>
      <c r="P84" s="1" t="s">
        <v>29</v>
      </c>
      <c r="Q84" s="1">
        <v>292</v>
      </c>
      <c r="R84" s="1" t="s">
        <v>30</v>
      </c>
      <c r="S84" s="1" t="s">
        <v>31</v>
      </c>
      <c r="T84" s="1" t="str">
        <f>CONCATENATE("&gt;Usutu virus isolate ",K84,", NS5 gene, partial cds")</f>
        <v>&gt;Usutu virus isolate Africa 3, NS5 gene, partial cds</v>
      </c>
      <c r="U84" s="1" t="s">
        <v>19</v>
      </c>
      <c r="V84" s="5" t="s">
        <v>32</v>
      </c>
      <c r="W84" s="5" t="s">
        <v>245</v>
      </c>
    </row>
    <row r="85" spans="1:23" x14ac:dyDescent="0.3">
      <c r="A85" s="2">
        <v>7323</v>
      </c>
      <c r="B85" s="2" t="s">
        <v>19</v>
      </c>
      <c r="C85" s="10" t="s">
        <v>374</v>
      </c>
      <c r="D85" s="8">
        <v>43375</v>
      </c>
      <c r="E85" s="1">
        <v>2018</v>
      </c>
      <c r="F85" s="9" t="s">
        <v>20</v>
      </c>
      <c r="G85" s="9" t="s">
        <v>21</v>
      </c>
      <c r="H85" s="1">
        <v>88</v>
      </c>
      <c r="I85" s="1" t="s">
        <v>163</v>
      </c>
      <c r="J85" s="1" t="s">
        <v>164</v>
      </c>
      <c r="K85" s="1" t="s">
        <v>40</v>
      </c>
      <c r="L85" s="1" t="s">
        <v>25</v>
      </c>
      <c r="M85" s="1" t="s">
        <v>26</v>
      </c>
      <c r="N85" s="9" t="s">
        <v>165</v>
      </c>
      <c r="O85" s="1" t="s">
        <v>166</v>
      </c>
      <c r="P85" s="1" t="s">
        <v>29</v>
      </c>
      <c r="Q85" s="1">
        <v>292</v>
      </c>
      <c r="R85" s="1" t="s">
        <v>30</v>
      </c>
      <c r="S85" s="1" t="s">
        <v>31</v>
      </c>
      <c r="T85" s="1" t="str">
        <f>CONCATENATE("&gt;Usutu virus isolate ",K85,", NS5 gene, partial cds")</f>
        <v>&gt;Usutu virus isolate Africa 3, NS5 gene, partial cds</v>
      </c>
      <c r="U85" s="1" t="s">
        <v>19</v>
      </c>
      <c r="V85" s="5" t="s">
        <v>32</v>
      </c>
      <c r="W85" s="5" t="s">
        <v>258</v>
      </c>
    </row>
    <row r="86" spans="1:23" x14ac:dyDescent="0.3">
      <c r="A86" s="2">
        <v>7378</v>
      </c>
      <c r="B86" s="2" t="s">
        <v>19</v>
      </c>
      <c r="C86" s="10" t="s">
        <v>375</v>
      </c>
      <c r="D86" s="8">
        <v>43326</v>
      </c>
      <c r="E86" s="1">
        <v>2018</v>
      </c>
      <c r="F86" s="9" t="s">
        <v>20</v>
      </c>
      <c r="G86" s="9" t="s">
        <v>21</v>
      </c>
      <c r="H86" s="1">
        <v>78</v>
      </c>
      <c r="I86" s="1" t="s">
        <v>167</v>
      </c>
      <c r="J86" s="1" t="s">
        <v>141</v>
      </c>
      <c r="K86" s="1" t="s">
        <v>40</v>
      </c>
      <c r="L86" s="1" t="s">
        <v>25</v>
      </c>
      <c r="M86" s="1" t="s">
        <v>26</v>
      </c>
      <c r="N86" s="9" t="s">
        <v>27</v>
      </c>
      <c r="O86" s="1" t="s">
        <v>28</v>
      </c>
      <c r="P86" s="1" t="s">
        <v>29</v>
      </c>
      <c r="Q86" s="1">
        <v>292</v>
      </c>
      <c r="R86" s="1" t="s">
        <v>30</v>
      </c>
      <c r="S86" s="1" t="s">
        <v>31</v>
      </c>
      <c r="T86" s="1" t="str">
        <f>CONCATENATE("&gt;Usutu virus isolate ",K86,", NS5 gene, partial cds")</f>
        <v>&gt;Usutu virus isolate Africa 3, NS5 gene, partial cds</v>
      </c>
      <c r="U86" s="1" t="s">
        <v>19</v>
      </c>
      <c r="V86" s="5" t="s">
        <v>32</v>
      </c>
      <c r="W86" s="5" t="s">
        <v>245</v>
      </c>
    </row>
    <row r="87" spans="1:23" x14ac:dyDescent="0.3">
      <c r="A87" s="2">
        <v>7380</v>
      </c>
      <c r="B87" s="2" t="s">
        <v>19</v>
      </c>
      <c r="C87" s="10" t="s">
        <v>376</v>
      </c>
      <c r="D87" s="8">
        <v>43339</v>
      </c>
      <c r="E87" s="1">
        <v>2018</v>
      </c>
      <c r="F87" s="9" t="s">
        <v>20</v>
      </c>
      <c r="G87" s="9" t="s">
        <v>21</v>
      </c>
      <c r="H87" s="1">
        <v>91</v>
      </c>
      <c r="I87" s="1" t="s">
        <v>168</v>
      </c>
      <c r="J87" s="1" t="s">
        <v>169</v>
      </c>
      <c r="K87" s="1" t="s">
        <v>40</v>
      </c>
      <c r="L87" s="1" t="s">
        <v>25</v>
      </c>
      <c r="M87" s="1" t="s">
        <v>26</v>
      </c>
      <c r="N87" s="9" t="s">
        <v>170</v>
      </c>
      <c r="O87" s="1" t="s">
        <v>171</v>
      </c>
      <c r="P87" s="1" t="s">
        <v>29</v>
      </c>
      <c r="Q87" s="1">
        <v>292</v>
      </c>
      <c r="R87" s="1" t="s">
        <v>30</v>
      </c>
      <c r="S87" s="1" t="s">
        <v>31</v>
      </c>
      <c r="T87" s="1" t="str">
        <f>CONCATENATE("&gt;Usutu virus isolate ",K87,", NS5 gene, partial cds")</f>
        <v>&gt;Usutu virus isolate Africa 3, NS5 gene, partial cds</v>
      </c>
      <c r="U87" s="1" t="s">
        <v>19</v>
      </c>
      <c r="V87" s="5" t="s">
        <v>32</v>
      </c>
      <c r="W87" s="5" t="s">
        <v>245</v>
      </c>
    </row>
    <row r="88" spans="1:23" x14ac:dyDescent="0.3">
      <c r="A88" s="2">
        <v>7338</v>
      </c>
      <c r="B88" s="2" t="s">
        <v>19</v>
      </c>
      <c r="C88" s="10" t="s">
        <v>377</v>
      </c>
      <c r="D88" s="8" t="s">
        <v>202</v>
      </c>
      <c r="E88" s="1">
        <v>2018</v>
      </c>
      <c r="F88" s="9" t="s">
        <v>20</v>
      </c>
      <c r="G88" s="9" t="s">
        <v>21</v>
      </c>
      <c r="H88" s="1">
        <v>45</v>
      </c>
      <c r="I88" s="1" t="s">
        <v>130</v>
      </c>
      <c r="J88" s="1" t="s">
        <v>131</v>
      </c>
      <c r="K88" s="1" t="s">
        <v>40</v>
      </c>
      <c r="L88" s="1" t="s">
        <v>25</v>
      </c>
      <c r="M88" s="1" t="s">
        <v>26</v>
      </c>
      <c r="N88" s="9" t="s">
        <v>27</v>
      </c>
      <c r="O88" s="1" t="s">
        <v>28</v>
      </c>
      <c r="P88" s="1" t="s">
        <v>29</v>
      </c>
      <c r="Q88" s="1">
        <v>292</v>
      </c>
      <c r="R88" s="1" t="s">
        <v>30</v>
      </c>
      <c r="S88" s="1" t="s">
        <v>31</v>
      </c>
      <c r="T88" s="1" t="s">
        <v>280</v>
      </c>
      <c r="U88" s="1" t="s">
        <v>19</v>
      </c>
      <c r="V88" s="5" t="s">
        <v>32</v>
      </c>
      <c r="W88" s="5" t="s">
        <v>249</v>
      </c>
    </row>
    <row r="89" spans="1:23" x14ac:dyDescent="0.3">
      <c r="A89" s="2">
        <v>7339</v>
      </c>
      <c r="B89" s="2" t="s">
        <v>19</v>
      </c>
      <c r="C89" s="10" t="s">
        <v>378</v>
      </c>
      <c r="D89" s="8" t="s">
        <v>202</v>
      </c>
      <c r="E89" s="1">
        <v>2018</v>
      </c>
      <c r="F89" s="9" t="s">
        <v>20</v>
      </c>
      <c r="G89" s="9" t="s">
        <v>21</v>
      </c>
      <c r="H89" s="1">
        <v>45</v>
      </c>
      <c r="I89" s="1" t="s">
        <v>130</v>
      </c>
      <c r="J89" s="1" t="s">
        <v>131</v>
      </c>
      <c r="K89" s="1" t="s">
        <v>40</v>
      </c>
      <c r="L89" s="1" t="s">
        <v>25</v>
      </c>
      <c r="M89" s="1" t="s">
        <v>26</v>
      </c>
      <c r="N89" s="9" t="s">
        <v>170</v>
      </c>
      <c r="O89" s="1" t="s">
        <v>171</v>
      </c>
      <c r="P89" s="1" t="s">
        <v>29</v>
      </c>
      <c r="Q89" s="1">
        <v>292</v>
      </c>
      <c r="R89" s="1" t="s">
        <v>30</v>
      </c>
      <c r="S89" s="1" t="s">
        <v>31</v>
      </c>
      <c r="T89" s="1" t="s">
        <v>281</v>
      </c>
      <c r="U89" s="1" t="s">
        <v>19</v>
      </c>
      <c r="V89" s="5" t="s">
        <v>32</v>
      </c>
      <c r="W89" s="5" t="s">
        <v>245</v>
      </c>
    </row>
    <row r="90" spans="1:23" x14ac:dyDescent="0.3">
      <c r="A90" s="2">
        <v>6504</v>
      </c>
      <c r="B90" s="2" t="s">
        <v>19</v>
      </c>
      <c r="C90" s="10" t="s">
        <v>379</v>
      </c>
      <c r="D90" s="8">
        <v>43355</v>
      </c>
      <c r="E90" s="1">
        <v>2018</v>
      </c>
      <c r="F90" s="9" t="s">
        <v>20</v>
      </c>
      <c r="G90" s="9" t="s">
        <v>21</v>
      </c>
      <c r="H90" s="1">
        <v>69</v>
      </c>
      <c r="I90" s="1" t="s">
        <v>282</v>
      </c>
      <c r="J90" s="1" t="s">
        <v>283</v>
      </c>
      <c r="K90" s="1" t="s">
        <v>40</v>
      </c>
      <c r="L90" s="1" t="s">
        <v>25</v>
      </c>
      <c r="M90" s="1" t="s">
        <v>26</v>
      </c>
      <c r="N90" s="9" t="s">
        <v>27</v>
      </c>
      <c r="O90" s="1" t="s">
        <v>28</v>
      </c>
      <c r="P90" s="1" t="s">
        <v>29</v>
      </c>
      <c r="Q90" s="1">
        <v>1085</v>
      </c>
      <c r="R90" s="1" t="s">
        <v>30</v>
      </c>
      <c r="S90" s="1" t="s">
        <v>409</v>
      </c>
      <c r="T90" s="1" t="str">
        <f>CONCATENATE("&gt;Usutu virus isolate ",K90,", NS5 gene, partial cds")</f>
        <v>&gt;Usutu virus isolate Africa 3, NS5 gene, partial cds</v>
      </c>
      <c r="U90" s="1" t="s">
        <v>19</v>
      </c>
      <c r="V90" s="5" t="s">
        <v>32</v>
      </c>
      <c r="W90" s="5" t="s">
        <v>284</v>
      </c>
    </row>
    <row r="91" spans="1:23" x14ac:dyDescent="0.3">
      <c r="A91" s="2">
        <v>6698</v>
      </c>
      <c r="B91" s="2" t="s">
        <v>19</v>
      </c>
      <c r="C91" s="10" t="s">
        <v>380</v>
      </c>
      <c r="D91" s="8">
        <v>44050</v>
      </c>
      <c r="E91" s="1">
        <v>2020</v>
      </c>
      <c r="F91" s="9" t="s">
        <v>20</v>
      </c>
      <c r="G91" s="9" t="s">
        <v>21</v>
      </c>
      <c r="H91" s="1">
        <v>51</v>
      </c>
      <c r="I91" s="1" t="s">
        <v>172</v>
      </c>
      <c r="J91" s="1" t="s">
        <v>173</v>
      </c>
      <c r="K91" s="1" t="s">
        <v>40</v>
      </c>
      <c r="L91" s="1" t="s">
        <v>25</v>
      </c>
      <c r="M91" s="1" t="s">
        <v>26</v>
      </c>
      <c r="N91" s="9" t="s">
        <v>27</v>
      </c>
      <c r="O91" s="1" t="s">
        <v>28</v>
      </c>
      <c r="P91" s="1" t="s">
        <v>29</v>
      </c>
      <c r="Q91" s="1">
        <v>292</v>
      </c>
      <c r="R91" s="1" t="s">
        <v>30</v>
      </c>
      <c r="S91" s="1" t="s">
        <v>31</v>
      </c>
      <c r="T91" s="1" t="str">
        <f>CONCATENATE("&gt;Usutu virus isolate ",K91,", NS5 gene, partial cds")</f>
        <v>&gt;Usutu virus isolate Africa 3, NS5 gene, partial cds</v>
      </c>
      <c r="U91" s="1" t="s">
        <v>19</v>
      </c>
      <c r="V91" s="5" t="s">
        <v>32</v>
      </c>
      <c r="W91" s="5" t="s">
        <v>258</v>
      </c>
    </row>
    <row r="92" spans="1:23" x14ac:dyDescent="0.3">
      <c r="A92" s="2">
        <v>6699</v>
      </c>
      <c r="B92" s="2" t="s">
        <v>19</v>
      </c>
      <c r="C92" s="10" t="s">
        <v>381</v>
      </c>
      <c r="D92" s="8">
        <v>44091</v>
      </c>
      <c r="E92" s="1">
        <v>2020</v>
      </c>
      <c r="F92" s="9" t="s">
        <v>20</v>
      </c>
      <c r="G92" s="9" t="s">
        <v>21</v>
      </c>
      <c r="H92" s="1">
        <v>89</v>
      </c>
      <c r="I92" s="1" t="s">
        <v>174</v>
      </c>
      <c r="J92" s="1" t="s">
        <v>175</v>
      </c>
      <c r="K92" s="1" t="s">
        <v>40</v>
      </c>
      <c r="L92" s="1" t="s">
        <v>25</v>
      </c>
      <c r="M92" s="1" t="s">
        <v>26</v>
      </c>
      <c r="N92" s="9" t="s">
        <v>27</v>
      </c>
      <c r="O92" s="1" t="s">
        <v>28</v>
      </c>
      <c r="P92" s="1" t="s">
        <v>29</v>
      </c>
      <c r="Q92" s="1">
        <v>292</v>
      </c>
      <c r="R92" s="1" t="s">
        <v>30</v>
      </c>
      <c r="S92" s="1" t="s">
        <v>31</v>
      </c>
      <c r="T92" s="1" t="str">
        <f>CONCATENATE("&gt;Usutu virus isolate ",K92,", NS5 gene, partial cds")</f>
        <v>&gt;Usutu virus isolate Africa 3, NS5 gene, partial cds</v>
      </c>
      <c r="U92" s="1" t="s">
        <v>19</v>
      </c>
      <c r="V92" s="5" t="s">
        <v>32</v>
      </c>
      <c r="W92" s="5" t="s">
        <v>285</v>
      </c>
    </row>
    <row r="93" spans="1:23" x14ac:dyDescent="0.3">
      <c r="A93" s="2">
        <v>6802</v>
      </c>
      <c r="B93" s="2" t="s">
        <v>19</v>
      </c>
      <c r="C93" s="10" t="s">
        <v>382</v>
      </c>
      <c r="D93" s="8">
        <v>44090</v>
      </c>
      <c r="E93" s="1">
        <v>2020</v>
      </c>
      <c r="F93" s="9" t="s">
        <v>20</v>
      </c>
      <c r="G93" s="9" t="s">
        <v>21</v>
      </c>
      <c r="H93" s="1">
        <v>38</v>
      </c>
      <c r="I93" s="1" t="s">
        <v>176</v>
      </c>
      <c r="J93" s="1" t="s">
        <v>177</v>
      </c>
      <c r="K93" s="1" t="s">
        <v>40</v>
      </c>
      <c r="L93" s="1" t="s">
        <v>25</v>
      </c>
      <c r="M93" s="1" t="s">
        <v>26</v>
      </c>
      <c r="N93" s="9" t="s">
        <v>27</v>
      </c>
      <c r="O93" s="1" t="s">
        <v>28</v>
      </c>
      <c r="P93" s="1" t="s">
        <v>29</v>
      </c>
      <c r="Q93" s="1">
        <v>292</v>
      </c>
      <c r="R93" s="1" t="s">
        <v>30</v>
      </c>
      <c r="S93" s="1" t="s">
        <v>31</v>
      </c>
      <c r="T93" s="1" t="str">
        <f>CONCATENATE("&gt;Usutu virus isolate ",K93,", NS5 gene, partial cds")</f>
        <v>&gt;Usutu virus isolate Africa 3, NS5 gene, partial cds</v>
      </c>
      <c r="U93" s="1" t="s">
        <v>19</v>
      </c>
      <c r="V93" s="5" t="s">
        <v>32</v>
      </c>
      <c r="W93" s="5" t="s">
        <v>259</v>
      </c>
    </row>
    <row r="94" spans="1:23" x14ac:dyDescent="0.3">
      <c r="A94" s="2">
        <v>10488</v>
      </c>
      <c r="B94" s="2" t="s">
        <v>19</v>
      </c>
      <c r="C94" s="10" t="s">
        <v>383</v>
      </c>
      <c r="D94" s="8">
        <v>44438</v>
      </c>
      <c r="E94" s="1">
        <v>2021</v>
      </c>
      <c r="F94" s="9" t="s">
        <v>20</v>
      </c>
      <c r="G94" s="9" t="s">
        <v>21</v>
      </c>
      <c r="H94" s="1">
        <v>89</v>
      </c>
      <c r="I94" s="1" t="s">
        <v>178</v>
      </c>
      <c r="J94" s="1" t="s">
        <v>179</v>
      </c>
      <c r="K94" s="1" t="s">
        <v>40</v>
      </c>
      <c r="L94" s="1" t="s">
        <v>25</v>
      </c>
      <c r="M94" s="1" t="s">
        <v>26</v>
      </c>
      <c r="N94" s="9" t="s">
        <v>180</v>
      </c>
      <c r="O94" s="1" t="s">
        <v>181</v>
      </c>
      <c r="P94" s="1" t="s">
        <v>29</v>
      </c>
      <c r="Q94" s="1">
        <v>292</v>
      </c>
      <c r="R94" s="1" t="s">
        <v>30</v>
      </c>
      <c r="S94" s="1" t="s">
        <v>31</v>
      </c>
      <c r="T94" s="1" t="str">
        <f>CONCATENATE("&gt;Usutu virus isolate ",K94,", NS5 gene, partial cds")</f>
        <v>&gt;Usutu virus isolate Africa 3, NS5 gene, partial cds</v>
      </c>
      <c r="U94" s="1" t="s">
        <v>19</v>
      </c>
      <c r="V94" s="5" t="s">
        <v>32</v>
      </c>
      <c r="W94" s="5" t="s">
        <v>249</v>
      </c>
    </row>
    <row r="95" spans="1:23" x14ac:dyDescent="0.3">
      <c r="A95" s="2">
        <v>10492</v>
      </c>
      <c r="B95" s="2" t="s">
        <v>19</v>
      </c>
      <c r="C95" s="10" t="s">
        <v>384</v>
      </c>
      <c r="D95" s="8">
        <v>44454</v>
      </c>
      <c r="E95" s="1">
        <v>2021</v>
      </c>
      <c r="F95" s="9" t="s">
        <v>20</v>
      </c>
      <c r="G95" s="9" t="s">
        <v>21</v>
      </c>
      <c r="H95" s="1">
        <v>67</v>
      </c>
      <c r="I95" s="1" t="s">
        <v>182</v>
      </c>
      <c r="J95" s="1" t="s">
        <v>183</v>
      </c>
      <c r="K95" s="1" t="s">
        <v>35</v>
      </c>
      <c r="L95" s="1" t="s">
        <v>25</v>
      </c>
      <c r="M95" s="1" t="s">
        <v>26</v>
      </c>
      <c r="N95" s="9" t="s">
        <v>27</v>
      </c>
      <c r="O95" s="1" t="s">
        <v>28</v>
      </c>
      <c r="P95" s="1" t="s">
        <v>29</v>
      </c>
      <c r="Q95" s="1">
        <v>266</v>
      </c>
      <c r="R95" s="1" t="s">
        <v>30</v>
      </c>
      <c r="S95" s="1" t="s">
        <v>31</v>
      </c>
      <c r="T95" s="1" t="str">
        <f>CONCATENATE("&gt;Usutu virus isolate ",K95,", NS5 gene, partial cds")</f>
        <v>&gt;Usutu virus isolate Europe 3, NS5 gene, partial cds</v>
      </c>
      <c r="U95" s="1" t="s">
        <v>19</v>
      </c>
      <c r="V95" s="5" t="s">
        <v>32</v>
      </c>
      <c r="W95" s="5" t="s">
        <v>286</v>
      </c>
    </row>
    <row r="96" spans="1:23" x14ac:dyDescent="0.3">
      <c r="A96" s="2">
        <v>1434</v>
      </c>
      <c r="B96" s="2" t="s">
        <v>19</v>
      </c>
      <c r="C96" s="10" t="s">
        <v>385</v>
      </c>
      <c r="D96" s="8">
        <v>44480</v>
      </c>
      <c r="E96" s="1">
        <v>2021</v>
      </c>
      <c r="F96" s="9" t="s">
        <v>20</v>
      </c>
      <c r="G96" s="9" t="s">
        <v>21</v>
      </c>
      <c r="H96" s="1">
        <v>38</v>
      </c>
      <c r="I96" s="1" t="s">
        <v>184</v>
      </c>
      <c r="J96" s="1" t="s">
        <v>185</v>
      </c>
      <c r="K96" s="1" t="s">
        <v>40</v>
      </c>
      <c r="L96" s="1" t="s">
        <v>25</v>
      </c>
      <c r="M96" s="1" t="s">
        <v>26</v>
      </c>
      <c r="N96" s="9" t="s">
        <v>27</v>
      </c>
      <c r="O96" s="1" t="s">
        <v>28</v>
      </c>
      <c r="P96" s="1" t="s">
        <v>29</v>
      </c>
      <c r="Q96" s="1">
        <v>292</v>
      </c>
      <c r="R96" s="1" t="s">
        <v>30</v>
      </c>
      <c r="S96" s="1" t="s">
        <v>31</v>
      </c>
      <c r="T96" s="1" t="str">
        <f>CONCATENATE("&gt;Usutu virus isolate ",K96,", NS5 gene, partial cds")</f>
        <v>&gt;Usutu virus isolate Africa 3, NS5 gene, partial cds</v>
      </c>
      <c r="U96" s="1" t="s">
        <v>19</v>
      </c>
      <c r="V96" s="5" t="s">
        <v>32</v>
      </c>
      <c r="W96" s="5" t="s">
        <v>287</v>
      </c>
    </row>
    <row r="97" spans="1:23" x14ac:dyDescent="0.3">
      <c r="A97" s="2">
        <v>8084</v>
      </c>
      <c r="B97" s="2" t="s">
        <v>19</v>
      </c>
      <c r="C97" s="10" t="s">
        <v>386</v>
      </c>
      <c r="D97" s="8">
        <v>45133</v>
      </c>
      <c r="E97" s="1">
        <v>2023</v>
      </c>
      <c r="F97" s="9" t="s">
        <v>20</v>
      </c>
      <c r="G97" s="9" t="s">
        <v>21</v>
      </c>
      <c r="H97" s="1">
        <v>68</v>
      </c>
      <c r="I97" s="1" t="s">
        <v>288</v>
      </c>
      <c r="J97" s="1" t="s">
        <v>289</v>
      </c>
      <c r="K97" s="1" t="s">
        <v>35</v>
      </c>
      <c r="L97" s="1" t="s">
        <v>25</v>
      </c>
      <c r="M97" s="1" t="s">
        <v>26</v>
      </c>
      <c r="N97" s="9" t="s">
        <v>27</v>
      </c>
      <c r="O97" s="1" t="s">
        <v>28</v>
      </c>
      <c r="P97" s="1" t="s">
        <v>29</v>
      </c>
      <c r="Q97" s="1">
        <v>1085</v>
      </c>
      <c r="R97" s="1" t="s">
        <v>30</v>
      </c>
      <c r="S97" s="1" t="s">
        <v>409</v>
      </c>
      <c r="T97" s="1" t="str">
        <f>CONCATENATE("&gt;Usutu virus isolate ",K97,", NS5 gene, partial cds")</f>
        <v>&gt;Usutu virus isolate Europe 3, NS5 gene, partial cds</v>
      </c>
      <c r="U97" s="1" t="s">
        <v>19</v>
      </c>
      <c r="V97" s="5" t="s">
        <v>32</v>
      </c>
      <c r="W97" s="5" t="s">
        <v>290</v>
      </c>
    </row>
    <row r="98" spans="1:23" x14ac:dyDescent="0.3">
      <c r="A98" s="2">
        <v>8533</v>
      </c>
      <c r="B98" s="2" t="s">
        <v>19</v>
      </c>
      <c r="C98" s="10" t="s">
        <v>387</v>
      </c>
      <c r="D98" s="8">
        <v>45122</v>
      </c>
      <c r="E98" s="1">
        <v>2023</v>
      </c>
      <c r="F98" s="9" t="s">
        <v>20</v>
      </c>
      <c r="G98" s="9" t="s">
        <v>21</v>
      </c>
      <c r="H98" s="1">
        <v>17</v>
      </c>
      <c r="I98" s="1" t="s">
        <v>291</v>
      </c>
      <c r="J98" s="1" t="s">
        <v>292</v>
      </c>
      <c r="K98" s="1" t="s">
        <v>40</v>
      </c>
      <c r="L98" s="1" t="s">
        <v>25</v>
      </c>
      <c r="M98" s="1" t="s">
        <v>26</v>
      </c>
      <c r="N98" s="9" t="s">
        <v>27</v>
      </c>
      <c r="O98" s="1" t="s">
        <v>28</v>
      </c>
      <c r="P98" s="1" t="s">
        <v>29</v>
      </c>
      <c r="Q98" s="1">
        <v>1085</v>
      </c>
      <c r="R98" s="1" t="s">
        <v>30</v>
      </c>
      <c r="S98" s="1" t="s">
        <v>409</v>
      </c>
      <c r="T98" s="1" t="str">
        <f>CONCATENATE("&gt;Usutu virus isolate ",K98,", NS5 gene, partial cds")</f>
        <v>&gt;Usutu virus isolate Africa 3, NS5 gene, partial cds</v>
      </c>
      <c r="U98" s="1" t="s">
        <v>19</v>
      </c>
      <c r="V98" s="5" t="s">
        <v>32</v>
      </c>
      <c r="W98" s="5" t="s">
        <v>293</v>
      </c>
    </row>
    <row r="99" spans="1:23" x14ac:dyDescent="0.3">
      <c r="A99" s="2">
        <v>7678</v>
      </c>
      <c r="B99" s="2" t="s">
        <v>19</v>
      </c>
      <c r="C99" s="10" t="s">
        <v>388</v>
      </c>
      <c r="D99" s="8">
        <v>45521</v>
      </c>
      <c r="E99" s="1">
        <v>2024</v>
      </c>
      <c r="F99" s="9" t="s">
        <v>20</v>
      </c>
      <c r="G99" s="9" t="s">
        <v>21</v>
      </c>
      <c r="H99" s="1">
        <v>88</v>
      </c>
      <c r="I99" s="1" t="s">
        <v>294</v>
      </c>
      <c r="J99" s="1" t="s">
        <v>295</v>
      </c>
      <c r="K99" s="1" t="s">
        <v>40</v>
      </c>
      <c r="L99" s="1" t="s">
        <v>25</v>
      </c>
      <c r="M99" s="1" t="s">
        <v>26</v>
      </c>
      <c r="N99" s="9" t="s">
        <v>27</v>
      </c>
      <c r="O99" s="1" t="s">
        <v>408</v>
      </c>
      <c r="P99" s="1" t="s">
        <v>29</v>
      </c>
      <c r="Q99" s="1">
        <v>1085</v>
      </c>
      <c r="R99" s="1" t="s">
        <v>30</v>
      </c>
      <c r="S99" s="1" t="s">
        <v>409</v>
      </c>
      <c r="T99" s="1" t="str">
        <f>CONCATENATE("&gt;Usutu virus isolate ",K99,", NS5 gene, partial cds")</f>
        <v>&gt;Usutu virus isolate Africa 3, NS5 gene, partial cds</v>
      </c>
      <c r="U99" s="1" t="s">
        <v>19</v>
      </c>
      <c r="V99" s="5" t="s">
        <v>32</v>
      </c>
      <c r="W99" s="5" t="s">
        <v>296</v>
      </c>
    </row>
    <row r="100" spans="1:23" x14ac:dyDescent="0.3">
      <c r="A100" s="11"/>
      <c r="C100" s="4"/>
      <c r="D100" s="4"/>
      <c r="E100" s="4"/>
      <c r="G100" s="4"/>
      <c r="H100" s="7"/>
      <c r="I100" s="4"/>
      <c r="J100" s="7"/>
      <c r="L100" s="4"/>
      <c r="M100" s="4"/>
      <c r="N100" s="11"/>
      <c r="O100" s="11"/>
      <c r="P100" s="11"/>
      <c r="Q100" s="12"/>
      <c r="S100" s="4"/>
    </row>
    <row r="101" spans="1:23" x14ac:dyDescent="0.3">
      <c r="A101" s="11"/>
      <c r="C101" s="4"/>
      <c r="D101" s="4"/>
      <c r="E101" s="4"/>
      <c r="G101" s="4"/>
      <c r="H101" s="7"/>
      <c r="I101" s="4"/>
      <c r="J101" s="7"/>
      <c r="L101" s="4"/>
      <c r="M101" s="4"/>
      <c r="N101" s="11"/>
      <c r="O101" s="11"/>
      <c r="P101" s="11"/>
      <c r="Q101" s="12"/>
      <c r="S101" s="4"/>
    </row>
    <row r="102" spans="1:23" x14ac:dyDescent="0.3">
      <c r="A102" s="11"/>
      <c r="C102" s="4"/>
      <c r="D102" s="4"/>
      <c r="E102" s="4"/>
      <c r="G102" s="4"/>
      <c r="H102" s="7"/>
      <c r="I102" s="4"/>
      <c r="J102" s="7"/>
      <c r="L102" s="4"/>
      <c r="M102" s="4"/>
      <c r="N102" s="11"/>
      <c r="O102" s="11"/>
      <c r="P102" s="11"/>
      <c r="Q102" s="12"/>
      <c r="S102" s="4"/>
    </row>
    <row r="103" spans="1:23" x14ac:dyDescent="0.3">
      <c r="A103" s="11"/>
      <c r="C103" s="4"/>
      <c r="D103" s="4"/>
      <c r="E103" s="4"/>
      <c r="G103" s="4"/>
      <c r="H103" s="7"/>
      <c r="I103" s="4"/>
      <c r="J103" s="7"/>
      <c r="L103" s="4"/>
      <c r="M103" s="4"/>
      <c r="N103" s="11"/>
      <c r="O103" s="11"/>
      <c r="P103" s="11"/>
      <c r="Q103" s="12"/>
      <c r="S103" s="4"/>
    </row>
    <row r="104" spans="1:23" x14ac:dyDescent="0.3">
      <c r="A104" s="11"/>
      <c r="C104" s="4"/>
      <c r="D104" s="4"/>
      <c r="E104" s="4"/>
      <c r="G104" s="4"/>
      <c r="H104" s="7"/>
      <c r="I104" s="4"/>
      <c r="J104" s="7"/>
      <c r="L104" s="4"/>
      <c r="M104" s="4"/>
      <c r="N104" s="11"/>
      <c r="O104" s="11"/>
      <c r="P104" s="11"/>
      <c r="Q104" s="12"/>
      <c r="S104" s="4"/>
    </row>
    <row r="105" spans="1:23" x14ac:dyDescent="0.3">
      <c r="A105" s="11"/>
      <c r="C105" s="4"/>
      <c r="D105" s="4"/>
      <c r="E105" s="4"/>
      <c r="G105" s="4"/>
      <c r="H105" s="7"/>
      <c r="I105" s="4"/>
      <c r="J105" s="7"/>
      <c r="L105" s="4"/>
      <c r="M105" s="4"/>
      <c r="N105" s="11"/>
      <c r="O105" s="11"/>
      <c r="P105" s="11"/>
      <c r="Q105" s="12"/>
      <c r="S105" s="4"/>
    </row>
    <row r="106" spans="1:23" x14ac:dyDescent="0.3">
      <c r="A106" s="11"/>
      <c r="C106" s="4"/>
      <c r="D106" s="4"/>
      <c r="E106" s="4"/>
      <c r="G106" s="4"/>
      <c r="H106" s="7"/>
      <c r="I106" s="4"/>
      <c r="J106" s="7"/>
    </row>
    <row r="107" spans="1:23" x14ac:dyDescent="0.3">
      <c r="A107" s="11"/>
      <c r="C107" s="4"/>
      <c r="D107" s="4"/>
      <c r="E107" s="4"/>
      <c r="G107" s="4"/>
      <c r="H107" s="7"/>
      <c r="I107" s="4"/>
      <c r="J107" s="7"/>
    </row>
    <row r="108" spans="1:23" x14ac:dyDescent="0.3">
      <c r="A108" s="11"/>
      <c r="C108" s="4"/>
      <c r="D108" s="4"/>
      <c r="E108" s="4"/>
      <c r="G108" s="4"/>
      <c r="H108" s="7"/>
      <c r="I108" s="4"/>
      <c r="J108" s="7"/>
    </row>
  </sheetData>
  <dataValidations count="1">
    <dataValidation showInputMessage="1" showErrorMessage="1" sqref="L94:M94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Decmber_2024_FR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2024-12-11T14:38:39Z</dcterms:modified>
</cp:coreProperties>
</file>